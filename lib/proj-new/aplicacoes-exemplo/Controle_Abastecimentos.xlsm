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210" windowWidth="20115" windowHeight="7935"/>
  </bookViews>
  <sheets>
    <sheet name="Instruções" sheetId="6" r:id="rId1"/>
    <sheet name="Controle" sheetId="1" r:id="rId2"/>
    <sheet name="Relatórios" sheetId="7" r:id="rId3"/>
    <sheet name="Veículos" sheetId="2" r:id="rId4"/>
    <sheet name="Motoristas" sheetId="3" r:id="rId5"/>
    <sheet name="Postos de Combustível" sheetId="4" r:id="rId6"/>
    <sheet name="Combustíveis" sheetId="5" r:id="rId7"/>
  </sheets>
  <functionGroups builtInGroupCount="17"/>
  <definedNames>
    <definedName name="Combustíveis">Combustíveis!$A$3:$A$1048576</definedName>
    <definedName name="Combustíveis2">Combustíveis!$A$2:$A$1048576</definedName>
    <definedName name="Motoristas">Motoristas!$A$2:$A$1048576</definedName>
    <definedName name="Postos">'Postos de Combustível'!$A$2:$A$1048576</definedName>
    <definedName name="Veículos">Veículos!$A$2:$A$1048576</definedName>
  </definedNames>
  <calcPr calcId="145621"/>
</workbook>
</file>

<file path=xl/calcChain.xml><?xml version="1.0" encoding="utf-8"?>
<calcChain xmlns="http://schemas.openxmlformats.org/spreadsheetml/2006/main">
  <c r="L9" i="1" l="1"/>
  <c r="B3" i="7"/>
  <c r="D3" i="7"/>
  <c r="M9" i="1"/>
  <c r="B4" i="7"/>
  <c r="C4" i="7"/>
  <c r="D4" i="7"/>
  <c r="E4" i="7"/>
  <c r="F4" i="7"/>
  <c r="B5" i="7"/>
  <c r="C5" i="7"/>
  <c r="D5" i="7"/>
  <c r="E5" i="7"/>
  <c r="F5" i="7"/>
  <c r="B6" i="7"/>
  <c r="C6" i="7"/>
  <c r="D6" i="7"/>
  <c r="E6" i="7"/>
  <c r="F6" i="7"/>
  <c r="B7" i="7"/>
  <c r="C7" i="7"/>
  <c r="D7" i="7"/>
  <c r="E7" i="7"/>
  <c r="F7" i="7"/>
  <c r="B8" i="7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B13" i="7"/>
  <c r="C13" i="7"/>
  <c r="D13" i="7"/>
  <c r="E13" i="7"/>
  <c r="F13" i="7"/>
  <c r="B14" i="7"/>
  <c r="C14" i="7"/>
  <c r="D14" i="7"/>
  <c r="E14" i="7"/>
  <c r="F14" i="7"/>
  <c r="B15" i="7"/>
  <c r="C15" i="7"/>
  <c r="D15" i="7"/>
  <c r="E15" i="7"/>
  <c r="F15" i="7"/>
  <c r="B16" i="7"/>
  <c r="C16" i="7"/>
  <c r="D16" i="7"/>
  <c r="E16" i="7"/>
  <c r="F16" i="7"/>
  <c r="B17" i="7"/>
  <c r="C17" i="7"/>
  <c r="D17" i="7"/>
  <c r="E17" i="7"/>
  <c r="F17" i="7"/>
  <c r="B18" i="7"/>
  <c r="C18" i="7"/>
  <c r="D18" i="7"/>
  <c r="E18" i="7"/>
  <c r="F18" i="7"/>
  <c r="B19" i="7"/>
  <c r="C19" i="7"/>
  <c r="D19" i="7"/>
  <c r="E19" i="7"/>
  <c r="F19" i="7"/>
  <c r="B20" i="7"/>
  <c r="C20" i="7"/>
  <c r="D20" i="7"/>
  <c r="E20" i="7"/>
  <c r="F20" i="7"/>
  <c r="B21" i="7"/>
  <c r="C21" i="7"/>
  <c r="D21" i="7"/>
  <c r="E21" i="7"/>
  <c r="F21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B25" i="7"/>
  <c r="C25" i="7"/>
  <c r="D25" i="7"/>
  <c r="E25" i="7"/>
  <c r="F25" i="7"/>
  <c r="B26" i="7"/>
  <c r="C26" i="7"/>
  <c r="D26" i="7"/>
  <c r="E26" i="7"/>
  <c r="F26" i="7"/>
  <c r="B27" i="7"/>
  <c r="C27" i="7"/>
  <c r="D27" i="7"/>
  <c r="E27" i="7"/>
  <c r="F27" i="7"/>
  <c r="B28" i="7"/>
  <c r="C28" i="7"/>
  <c r="D28" i="7"/>
  <c r="E28" i="7"/>
  <c r="F28" i="7"/>
  <c r="B29" i="7"/>
  <c r="C29" i="7"/>
  <c r="D29" i="7"/>
  <c r="E29" i="7"/>
  <c r="F29" i="7"/>
  <c r="B30" i="7"/>
  <c r="C30" i="7"/>
  <c r="D30" i="7"/>
  <c r="E30" i="7"/>
  <c r="F30" i="7"/>
  <c r="B31" i="7"/>
  <c r="C31" i="7"/>
  <c r="D31" i="7"/>
  <c r="E31" i="7"/>
  <c r="F31" i="7"/>
  <c r="B32" i="7"/>
  <c r="C32" i="7"/>
  <c r="D32" i="7"/>
  <c r="E32" i="7"/>
  <c r="F32" i="7"/>
  <c r="B33" i="7"/>
  <c r="C33" i="7"/>
  <c r="D33" i="7"/>
  <c r="E33" i="7"/>
  <c r="F33" i="7"/>
  <c r="B34" i="7"/>
  <c r="C34" i="7"/>
  <c r="D34" i="7"/>
  <c r="E34" i="7"/>
  <c r="F34" i="7"/>
  <c r="B35" i="7"/>
  <c r="C35" i="7"/>
  <c r="D35" i="7"/>
  <c r="E35" i="7"/>
  <c r="F35" i="7"/>
  <c r="B36" i="7"/>
  <c r="C36" i="7"/>
  <c r="D36" i="7"/>
  <c r="E36" i="7"/>
  <c r="F36" i="7"/>
  <c r="B37" i="7"/>
  <c r="C37" i="7"/>
  <c r="D37" i="7"/>
  <c r="E37" i="7"/>
  <c r="F37" i="7"/>
  <c r="B38" i="7"/>
  <c r="C38" i="7"/>
  <c r="D38" i="7"/>
  <c r="E38" i="7"/>
  <c r="F38" i="7"/>
  <c r="B39" i="7"/>
  <c r="C39" i="7"/>
  <c r="D39" i="7"/>
  <c r="E39" i="7"/>
  <c r="F39" i="7"/>
  <c r="B40" i="7"/>
  <c r="C40" i="7"/>
  <c r="D40" i="7"/>
  <c r="E40" i="7"/>
  <c r="F40" i="7"/>
  <c r="B41" i="7"/>
  <c r="C41" i="7"/>
  <c r="D41" i="7"/>
  <c r="E41" i="7"/>
  <c r="F41" i="7"/>
  <c r="B42" i="7"/>
  <c r="C42" i="7"/>
  <c r="D42" i="7"/>
  <c r="E42" i="7"/>
  <c r="F42" i="7"/>
  <c r="B43" i="7"/>
  <c r="C43" i="7"/>
  <c r="D43" i="7"/>
  <c r="E43" i="7"/>
  <c r="F43" i="7"/>
  <c r="B44" i="7"/>
  <c r="C44" i="7"/>
  <c r="D44" i="7"/>
  <c r="E44" i="7"/>
  <c r="F44" i="7"/>
  <c r="B45" i="7"/>
  <c r="C45" i="7"/>
  <c r="D45" i="7"/>
  <c r="E45" i="7"/>
  <c r="F45" i="7"/>
  <c r="B46" i="7"/>
  <c r="C46" i="7"/>
  <c r="D46" i="7"/>
  <c r="E46" i="7"/>
  <c r="F46" i="7"/>
  <c r="B47" i="7"/>
  <c r="C47" i="7"/>
  <c r="D47" i="7"/>
  <c r="E47" i="7"/>
  <c r="F47" i="7"/>
  <c r="B48" i="7"/>
  <c r="C48" i="7"/>
  <c r="D48" i="7"/>
  <c r="E48" i="7"/>
  <c r="F48" i="7"/>
  <c r="B49" i="7"/>
  <c r="C49" i="7"/>
  <c r="D49" i="7"/>
  <c r="E49" i="7"/>
  <c r="F49" i="7"/>
  <c r="B50" i="7"/>
  <c r="C50" i="7"/>
  <c r="D50" i="7"/>
  <c r="E50" i="7"/>
  <c r="F50" i="7"/>
  <c r="B51" i="7"/>
  <c r="C51" i="7"/>
  <c r="D51" i="7"/>
  <c r="E51" i="7"/>
  <c r="F51" i="7"/>
  <c r="B52" i="7"/>
  <c r="C52" i="7"/>
  <c r="D52" i="7"/>
  <c r="E52" i="7"/>
  <c r="F52" i="7"/>
  <c r="Q9" i="1"/>
  <c r="R9" i="1"/>
  <c r="I4" i="7"/>
  <c r="J4" i="7"/>
  <c r="I5" i="7"/>
  <c r="J5" i="7"/>
  <c r="I6" i="7"/>
  <c r="J6" i="7"/>
  <c r="I7" i="7"/>
  <c r="J7" i="7"/>
  <c r="I8" i="7"/>
  <c r="J8" i="7"/>
  <c r="I9" i="7"/>
  <c r="J9" i="7"/>
  <c r="I10" i="7"/>
  <c r="J10" i="7"/>
  <c r="I11" i="7"/>
  <c r="J11" i="7"/>
  <c r="I12" i="7"/>
  <c r="J12" i="7"/>
  <c r="I13" i="7"/>
  <c r="J13" i="7"/>
  <c r="I14" i="7"/>
  <c r="J14" i="7"/>
  <c r="I15" i="7"/>
  <c r="J15" i="7"/>
  <c r="I16" i="7"/>
  <c r="J16" i="7"/>
  <c r="I17" i="7"/>
  <c r="J17" i="7"/>
  <c r="I18" i="7"/>
  <c r="J18" i="7"/>
  <c r="I19" i="7"/>
  <c r="J19" i="7"/>
  <c r="I20" i="7"/>
  <c r="J20" i="7"/>
  <c r="I21" i="7"/>
  <c r="J21" i="7"/>
  <c r="I22" i="7"/>
  <c r="J22" i="7"/>
  <c r="I23" i="7"/>
  <c r="J23" i="7"/>
  <c r="I24" i="7"/>
  <c r="J24" i="7"/>
  <c r="I25" i="7"/>
  <c r="J25" i="7"/>
  <c r="I26" i="7"/>
  <c r="J26" i="7"/>
  <c r="J3" i="7"/>
  <c r="I3" i="7"/>
  <c r="C3" i="7"/>
  <c r="E3" i="7"/>
  <c r="F3" i="7"/>
</calcChain>
</file>

<file path=xl/comments1.xml><?xml version="1.0" encoding="utf-8"?>
<comments xmlns="http://schemas.openxmlformats.org/spreadsheetml/2006/main">
  <authors>
    <author>Lucas Schuelter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Lucas Schuelter:</t>
        </r>
        <r>
          <rPr>
            <sz val="9"/>
            <color indexed="81"/>
            <rFont val="Tahoma"/>
            <family val="2"/>
          </rPr>
          <t xml:space="preserve">
Indica a quantidade de litros abastecida depois do 1º abastecimento informado. Ou seja, o primeiro abastecimento não entra neste cáculo.</t>
        </r>
      </text>
    </comment>
  </commentList>
</comments>
</file>

<file path=xl/sharedStrings.xml><?xml version="1.0" encoding="utf-8"?>
<sst xmlns="http://schemas.openxmlformats.org/spreadsheetml/2006/main" count="45" uniqueCount="39">
  <si>
    <t>Data</t>
  </si>
  <si>
    <t>Hora</t>
  </si>
  <si>
    <t>Veículo</t>
  </si>
  <si>
    <t>Motorista</t>
  </si>
  <si>
    <t>Posto</t>
  </si>
  <si>
    <t>Combustível</t>
  </si>
  <si>
    <t>Qtde</t>
  </si>
  <si>
    <t>Valor</t>
  </si>
  <si>
    <t>Hodômetro</t>
  </si>
  <si>
    <t>Distância</t>
  </si>
  <si>
    <t>Média</t>
  </si>
  <si>
    <t>Observação</t>
  </si>
  <si>
    <t>Álcool</t>
  </si>
  <si>
    <t>CONTROLE DE ABASTECIMENTOS</t>
  </si>
  <si>
    <t>Diesel</t>
  </si>
  <si>
    <t>Gasolina</t>
  </si>
  <si>
    <t>GNV</t>
  </si>
  <si>
    <t xml:space="preserve"> </t>
  </si>
  <si>
    <t>Veículos</t>
  </si>
  <si>
    <t>Distância total</t>
  </si>
  <si>
    <t>Qtde total</t>
  </si>
  <si>
    <t>Média geral</t>
  </si>
  <si>
    <t>Mês</t>
  </si>
  <si>
    <t>Valor total</t>
  </si>
  <si>
    <t>Como usar a planilha?</t>
  </si>
  <si>
    <t>INFORMAÇÕES IMPORTANTES</t>
  </si>
  <si>
    <t>Os abastecimentos precisam ser inseridos de maneira cronológica na planilha, ou seja, na ordem em que aconteceram.</t>
  </si>
  <si>
    <r>
      <t xml:space="preserve">Os campos </t>
    </r>
    <r>
      <rPr>
        <b/>
        <sz val="11"/>
        <color theme="1"/>
        <rFont val="Trebuchet MS"/>
        <family val="2"/>
      </rPr>
      <t>Distância</t>
    </r>
    <r>
      <rPr>
        <sz val="11"/>
        <color theme="1"/>
        <rFont val="Trebuchet MS"/>
        <family val="2"/>
      </rPr>
      <t xml:space="preserve"> e </t>
    </r>
    <r>
      <rPr>
        <b/>
        <sz val="11"/>
        <color theme="1"/>
        <rFont val="Trebuchet MS"/>
        <family val="2"/>
      </rPr>
      <t>Média</t>
    </r>
    <r>
      <rPr>
        <sz val="11"/>
        <color theme="1"/>
        <rFont val="Trebuchet MS"/>
        <family val="2"/>
      </rPr>
      <t xml:space="preserve"> são calculados automaticamente pela planilha assim que forem inseridos os valores necessários para os cálculos. </t>
    </r>
  </si>
  <si>
    <r>
      <t xml:space="preserve">No campo </t>
    </r>
    <r>
      <rPr>
        <b/>
        <sz val="11"/>
        <color theme="1"/>
        <rFont val="Trebuchet MS"/>
        <family val="2"/>
      </rPr>
      <t>Distância</t>
    </r>
    <r>
      <rPr>
        <sz val="11"/>
        <color theme="1"/>
        <rFont val="Trebuchet MS"/>
        <family val="2"/>
      </rPr>
      <t>, serão informados quantos quilômetros o veículo rodou desde o último abastecimento. Se constrar neste campo "1º valor", significa que o abastecimento é o primeiro daquele veículo. Se constar "ERRO", significa que o hodômetro informado é menor que o anterior do veículo.</t>
    </r>
  </si>
  <si>
    <r>
      <t xml:space="preserve">Cada linha da planilha </t>
    </r>
    <r>
      <rPr>
        <b/>
        <sz val="11"/>
        <color theme="1"/>
        <rFont val="Trebuchet MS"/>
        <family val="2"/>
      </rPr>
      <t>Controle</t>
    </r>
    <r>
      <rPr>
        <sz val="11"/>
        <color theme="1"/>
        <rFont val="Trebuchet MS"/>
        <family val="2"/>
      </rPr>
      <t xml:space="preserve"> refere-se a um abastecimento. Preencha os dados de um abastecimento para poder adicionar uma nova linha e informar um novo abastecimento. Assim que preencher os dados do abastecimento anterior, clique no botão "Adicionar linha" para que uma nova linha seja adicionada.</t>
    </r>
  </si>
  <si>
    <r>
      <t xml:space="preserve">Os cadastros de </t>
    </r>
    <r>
      <rPr>
        <b/>
        <sz val="11"/>
        <color theme="1"/>
        <rFont val="Trebuchet MS"/>
        <family val="2"/>
      </rPr>
      <t>Veículos</t>
    </r>
    <r>
      <rPr>
        <sz val="11"/>
        <color theme="1"/>
        <rFont val="Trebuchet MS"/>
        <family val="2"/>
      </rPr>
      <t xml:space="preserve">, </t>
    </r>
    <r>
      <rPr>
        <b/>
        <sz val="11"/>
        <color theme="1"/>
        <rFont val="Trebuchet MS"/>
        <family val="2"/>
      </rPr>
      <t>Motoristas</t>
    </r>
    <r>
      <rPr>
        <sz val="11"/>
        <color theme="1"/>
        <rFont val="Trebuchet MS"/>
        <family val="2"/>
      </rPr>
      <t xml:space="preserve">, </t>
    </r>
    <r>
      <rPr>
        <b/>
        <sz val="11"/>
        <color theme="1"/>
        <rFont val="Trebuchet MS"/>
        <family val="2"/>
      </rPr>
      <t>Postos de Combustível</t>
    </r>
    <r>
      <rPr>
        <sz val="11"/>
        <color theme="1"/>
        <rFont val="Trebuchet MS"/>
        <family val="2"/>
      </rPr>
      <t xml:space="preserve"> e </t>
    </r>
    <r>
      <rPr>
        <b/>
        <sz val="11"/>
        <color theme="1"/>
        <rFont val="Trebuchet MS"/>
        <family val="2"/>
      </rPr>
      <t>Combustíveis</t>
    </r>
    <r>
      <rPr>
        <sz val="11"/>
        <color theme="1"/>
        <rFont val="Trebuchet MS"/>
        <family val="2"/>
      </rPr>
      <t xml:space="preserve"> ficam armazenados nas planilhas com seus respectivos nomes. Para adicionar um novo cadastro, pode-se utilizar os botões na planilha </t>
    </r>
    <r>
      <rPr>
        <b/>
        <sz val="11"/>
        <color theme="1"/>
        <rFont val="Trebuchet MS"/>
        <family val="2"/>
      </rPr>
      <t>Controle</t>
    </r>
    <r>
      <rPr>
        <sz val="11"/>
        <color theme="1"/>
        <rFont val="Trebuchet MS"/>
        <family val="2"/>
      </rPr>
      <t>. Para excluir um cadastro, basta ir até a planilha e excluir a célula que contém o valor que se deseja excluir.</t>
    </r>
  </si>
  <si>
    <t>Tanque cheio?</t>
  </si>
  <si>
    <t>Sim</t>
  </si>
  <si>
    <t>Não</t>
  </si>
  <si>
    <t>O ideal é que o veículo sempre seja abastecido até completar o tanque. Caso contrário, a planilha não calculará a média para aquele abastecimento e os valores serão acumulados para serem calculados na próxima vez que o tanque for enchido.</t>
  </si>
  <si>
    <r>
      <t>Para iniciar o controle de abastecimento dos seus veículos, basta preencher os dados referentes aos abastecimentos na guia</t>
    </r>
    <r>
      <rPr>
        <b/>
        <sz val="11"/>
        <color theme="1"/>
        <rFont val="Trebuchet MS"/>
        <family val="2"/>
      </rPr>
      <t xml:space="preserve"> Controle</t>
    </r>
    <r>
      <rPr>
        <sz val="11"/>
        <color theme="1"/>
        <rFont val="Trebuchet MS"/>
        <family val="2"/>
      </rPr>
      <t xml:space="preserve"> abaixo. Quando for abastecer seus veículos, anote: a </t>
    </r>
    <r>
      <rPr>
        <b/>
        <sz val="11"/>
        <color theme="1"/>
        <rFont val="Trebuchet MS"/>
        <family val="2"/>
      </rPr>
      <t>data</t>
    </r>
    <r>
      <rPr>
        <sz val="11"/>
        <color theme="1"/>
        <rFont val="Trebuchet MS"/>
        <family val="2"/>
      </rPr>
      <t xml:space="preserve">, </t>
    </r>
    <r>
      <rPr>
        <b/>
        <sz val="11"/>
        <color theme="1"/>
        <rFont val="Trebuchet MS"/>
        <family val="2"/>
      </rPr>
      <t>hora</t>
    </r>
    <r>
      <rPr>
        <sz val="11"/>
        <color theme="1"/>
        <rFont val="Trebuchet MS"/>
        <family val="2"/>
      </rPr>
      <t xml:space="preserve">, o </t>
    </r>
    <r>
      <rPr>
        <b/>
        <sz val="11"/>
        <color theme="1"/>
        <rFont val="Trebuchet MS"/>
        <family val="2"/>
      </rPr>
      <t>veículo</t>
    </r>
    <r>
      <rPr>
        <sz val="11"/>
        <color theme="1"/>
        <rFont val="Trebuchet MS"/>
        <family val="2"/>
      </rPr>
      <t xml:space="preserve"> que foi abastecido, o </t>
    </r>
    <r>
      <rPr>
        <b/>
        <sz val="11"/>
        <color theme="1"/>
        <rFont val="Trebuchet MS"/>
        <family val="2"/>
      </rPr>
      <t>motorista</t>
    </r>
    <r>
      <rPr>
        <sz val="11"/>
        <color theme="1"/>
        <rFont val="Trebuchet MS"/>
        <family val="2"/>
      </rPr>
      <t xml:space="preserve"> que estava dirigindo o veículo no momento, o nome do </t>
    </r>
    <r>
      <rPr>
        <b/>
        <sz val="11"/>
        <color theme="1"/>
        <rFont val="Trebuchet MS"/>
        <family val="2"/>
      </rPr>
      <t>posto</t>
    </r>
    <r>
      <rPr>
        <sz val="11"/>
        <color theme="1"/>
        <rFont val="Trebuchet MS"/>
        <family val="2"/>
      </rPr>
      <t xml:space="preserve"> em que foi abastecido, o </t>
    </r>
    <r>
      <rPr>
        <b/>
        <sz val="11"/>
        <color theme="1"/>
        <rFont val="Trebuchet MS"/>
        <family val="2"/>
      </rPr>
      <t>combustível</t>
    </r>
    <r>
      <rPr>
        <sz val="11"/>
        <color theme="1"/>
        <rFont val="Trebuchet MS"/>
        <family val="2"/>
      </rPr>
      <t xml:space="preserve"> e qual a quilometragem marcada no </t>
    </r>
    <r>
      <rPr>
        <b/>
        <sz val="11"/>
        <color theme="1"/>
        <rFont val="Trebuchet MS"/>
        <family val="2"/>
      </rPr>
      <t>hodômetro</t>
    </r>
    <r>
      <rPr>
        <sz val="11"/>
        <color theme="1"/>
        <rFont val="Trebuchet MS"/>
        <family val="2"/>
      </rPr>
      <t xml:space="preserve"> do veículo no momento do abastecimento. Depois, é só preencher as informações da planilha!</t>
    </r>
  </si>
  <si>
    <t>http://www.sofit4.com.br/materiais-gestao-frota/</t>
  </si>
  <si>
    <t>Bem-vindo à planilha de controle de abastecimentos da Sofit!</t>
  </si>
  <si>
    <t>Baixe gratuitamente mais materiais educativos de Controle de Frota: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</si>
</sst>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6" tint="-0.499984740745262"/>
      <name val="Trebuchet MS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Trebuchet MS"/>
      <family val="2"/>
    </font>
    <font>
      <sz val="11"/>
      <color rgb="FF001E00"/>
      <name val="Calibri"/>
      <family val="2"/>
      <scheme val="minor"/>
    </font>
    <font>
      <b/>
      <sz val="24"/>
      <color theme="6" tint="-0.499984740745262"/>
      <name val="Trebuchet MS"/>
      <family val="2"/>
    </font>
    <font>
      <b/>
      <sz val="11"/>
      <color theme="1"/>
      <name val="Trebuchet MS"/>
      <family val="2"/>
    </font>
    <font>
      <b/>
      <sz val="12"/>
      <color theme="1"/>
      <name val="Trebuchet MS"/>
      <family val="2"/>
    </font>
    <font>
      <b/>
      <sz val="14"/>
      <color theme="1"/>
      <name val="Trebuchet MS"/>
      <family val="2"/>
    </font>
    <font>
      <b/>
      <sz val="18"/>
      <color theme="1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2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Protection="1">
      <protection locked="0"/>
    </xf>
    <xf numFmtId="0" fontId="0" fillId="3" borderId="0" xfId="0" applyFont="1" applyFill="1" applyProtection="1">
      <protection locked="0"/>
    </xf>
    <xf numFmtId="43" fontId="0" fillId="3" borderId="0" xfId="1" applyFont="1" applyFill="1" applyProtection="1">
      <protection locked="0"/>
    </xf>
    <xf numFmtId="43" fontId="0" fillId="3" borderId="0" xfId="1" applyNumberFormat="1" applyFont="1" applyFill="1" applyProtection="1">
      <protection locked="0"/>
    </xf>
    <xf numFmtId="14" fontId="6" fillId="2" borderId="0" xfId="0" applyNumberFormat="1" applyFont="1" applyFill="1" applyBorder="1" applyAlignment="1" applyProtection="1">
      <alignment horizontal="center" vertical="center"/>
      <protection locked="0"/>
    </xf>
    <xf numFmtId="20" fontId="6" fillId="2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43" fontId="6" fillId="2" borderId="0" xfId="1" applyFont="1" applyFill="1" applyBorder="1" applyAlignment="1" applyProtection="1">
      <alignment horizontal="center" vertical="center"/>
      <protection locked="0"/>
    </xf>
    <xf numFmtId="44" fontId="6" fillId="2" borderId="0" xfId="2" applyFont="1" applyFill="1" applyBorder="1" applyAlignment="1" applyProtection="1">
      <alignment horizontal="center" vertical="center"/>
      <protection locked="0"/>
    </xf>
    <xf numFmtId="43" fontId="6" fillId="2" borderId="0" xfId="1" applyFont="1" applyFill="1" applyBorder="1" applyAlignment="1" applyProtection="1">
      <alignment horizontal="center" vertical="center"/>
    </xf>
    <xf numFmtId="43" fontId="6" fillId="2" borderId="0" xfId="1" applyNumberFormat="1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3" fontId="0" fillId="2" borderId="0" xfId="1" applyFont="1" applyFill="1" applyAlignment="1" applyProtection="1">
      <alignment horizontal="center" vertical="center"/>
    </xf>
    <xf numFmtId="43" fontId="0" fillId="2" borderId="0" xfId="1" applyNumberFormat="1" applyFont="1" applyFill="1" applyAlignment="1" applyProtection="1">
      <alignment horizontal="center" vertical="center"/>
    </xf>
    <xf numFmtId="44" fontId="0" fillId="2" borderId="0" xfId="2" applyFont="1" applyFill="1" applyAlignment="1" applyProtection="1">
      <alignment horizontal="center" vertical="center"/>
    </xf>
    <xf numFmtId="17" fontId="5" fillId="4" borderId="1" xfId="0" applyNumberFormat="1" applyFont="1" applyFill="1" applyBorder="1" applyAlignment="1" applyProtection="1">
      <alignment horizontal="center" vertical="center"/>
    </xf>
    <xf numFmtId="43" fontId="0" fillId="3" borderId="0" xfId="1" applyFont="1" applyFill="1" applyAlignment="1" applyProtection="1">
      <alignment horizontal="center" vertical="center"/>
    </xf>
    <xf numFmtId="43" fontId="0" fillId="3" borderId="0" xfId="1" applyNumberFormat="1" applyFont="1" applyFill="1" applyAlignment="1" applyProtection="1">
      <alignment horizontal="center" vertical="center"/>
    </xf>
    <xf numFmtId="44" fontId="0" fillId="3" borderId="0" xfId="2" applyFont="1" applyFill="1" applyAlignment="1" applyProtection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wrapText="1"/>
    </xf>
    <xf numFmtId="0" fontId="8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8" fillId="3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12" fillId="2" borderId="0" xfId="3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locked="0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01E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sofit4.com.br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sofit4.com.b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123825</xdr:rowOff>
    </xdr:from>
    <xdr:to>
      <xdr:col>2</xdr:col>
      <xdr:colOff>47625</xdr:colOff>
      <xdr:row>4</xdr:row>
      <xdr:rowOff>142875</xdr:rowOff>
    </xdr:to>
    <xdr:pic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33375"/>
          <a:ext cx="1095375" cy="647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4</xdr:row>
      <xdr:rowOff>123824</xdr:rowOff>
    </xdr:from>
    <xdr:to>
      <xdr:col>3</xdr:col>
      <xdr:colOff>257775</xdr:colOff>
      <xdr:row>6</xdr:row>
      <xdr:rowOff>100724</xdr:rowOff>
    </xdr:to>
    <xdr:sp macro="[0]!AdicionarAbastecimento" textlink="">
      <xdr:nvSpPr>
        <xdr:cNvPr id="2" name="Retângulo de cantos arredondados 1"/>
        <xdr:cNvSpPr/>
      </xdr:nvSpPr>
      <xdr:spPr>
        <a:xfrm>
          <a:off x="219075" y="962024"/>
          <a:ext cx="1324575" cy="491250"/>
        </a:xfrm>
        <a:prstGeom prst="roundRect">
          <a:avLst/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80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5400000" scaled="0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Adicionar</a:t>
          </a:r>
          <a:r>
            <a:rPr lang="pt-BR" sz="1200" b="1" baseline="0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 linha</a:t>
          </a:r>
          <a:endParaRPr lang="pt-BR" sz="1200" b="1">
            <a:solidFill>
              <a:schemeClr val="accent3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3</xdr:col>
      <xdr:colOff>304800</xdr:colOff>
      <xdr:row>4</xdr:row>
      <xdr:rowOff>123824</xdr:rowOff>
    </xdr:from>
    <xdr:to>
      <xdr:col>4</xdr:col>
      <xdr:colOff>734025</xdr:colOff>
      <xdr:row>6</xdr:row>
      <xdr:rowOff>100724</xdr:rowOff>
    </xdr:to>
    <xdr:sp macro="[0]!ExcluirAbastecimento" textlink="">
      <xdr:nvSpPr>
        <xdr:cNvPr id="3" name="Retângulo de cantos arredondados 2"/>
        <xdr:cNvSpPr/>
      </xdr:nvSpPr>
      <xdr:spPr>
        <a:xfrm>
          <a:off x="1590675" y="962024"/>
          <a:ext cx="1296000" cy="491250"/>
        </a:xfrm>
        <a:prstGeom prst="roundRect">
          <a:avLst/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80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5400000" scaled="0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Excluir linha</a:t>
          </a:r>
        </a:p>
      </xdr:txBody>
    </xdr:sp>
    <xdr:clientData/>
  </xdr:twoCellAnchor>
  <xdr:twoCellAnchor>
    <xdr:from>
      <xdr:col>8</xdr:col>
      <xdr:colOff>733425</xdr:colOff>
      <xdr:row>4</xdr:row>
      <xdr:rowOff>76199</xdr:rowOff>
    </xdr:from>
    <xdr:to>
      <xdr:col>10</xdr:col>
      <xdr:colOff>333975</xdr:colOff>
      <xdr:row>6</xdr:row>
      <xdr:rowOff>137849</xdr:rowOff>
    </xdr:to>
    <xdr:sp macro="[0]!AdicionarVeículo" textlink="">
      <xdr:nvSpPr>
        <xdr:cNvPr id="4" name="Retângulo de cantos arredondados 3"/>
        <xdr:cNvSpPr/>
      </xdr:nvSpPr>
      <xdr:spPr>
        <a:xfrm>
          <a:off x="7019925" y="1104899"/>
          <a:ext cx="1296000" cy="480750"/>
        </a:xfrm>
        <a:prstGeom prst="roundRect">
          <a:avLst/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80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Adicionar veículo</a:t>
          </a:r>
        </a:p>
      </xdr:txBody>
    </xdr:sp>
    <xdr:clientData/>
  </xdr:twoCellAnchor>
  <xdr:twoCellAnchor>
    <xdr:from>
      <xdr:col>10</xdr:col>
      <xdr:colOff>390525</xdr:colOff>
      <xdr:row>4</xdr:row>
      <xdr:rowOff>76199</xdr:rowOff>
    </xdr:from>
    <xdr:to>
      <xdr:col>11</xdr:col>
      <xdr:colOff>610200</xdr:colOff>
      <xdr:row>6</xdr:row>
      <xdr:rowOff>137849</xdr:rowOff>
    </xdr:to>
    <xdr:sp macro="[0]!AdicionarMotorista" textlink="">
      <xdr:nvSpPr>
        <xdr:cNvPr id="5" name="Retângulo de cantos arredondados 4"/>
        <xdr:cNvSpPr/>
      </xdr:nvSpPr>
      <xdr:spPr>
        <a:xfrm>
          <a:off x="8372475" y="1104899"/>
          <a:ext cx="1296000" cy="480750"/>
        </a:xfrm>
        <a:prstGeom prst="roundRect">
          <a:avLst/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80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Adicionar motorista</a:t>
          </a:r>
        </a:p>
      </xdr:txBody>
    </xdr:sp>
    <xdr:clientData/>
  </xdr:twoCellAnchor>
  <xdr:twoCellAnchor>
    <xdr:from>
      <xdr:col>11</xdr:col>
      <xdr:colOff>666748</xdr:colOff>
      <xdr:row>4</xdr:row>
      <xdr:rowOff>76199</xdr:rowOff>
    </xdr:from>
    <xdr:to>
      <xdr:col>13</xdr:col>
      <xdr:colOff>734023</xdr:colOff>
      <xdr:row>6</xdr:row>
      <xdr:rowOff>137849</xdr:rowOff>
    </xdr:to>
    <xdr:sp macro="[0]!AdicionarPosto" textlink="">
      <xdr:nvSpPr>
        <xdr:cNvPr id="6" name="Retângulo de cantos arredondados 5"/>
        <xdr:cNvSpPr/>
      </xdr:nvSpPr>
      <xdr:spPr>
        <a:xfrm>
          <a:off x="9725023" y="1104899"/>
          <a:ext cx="1296000" cy="480750"/>
        </a:xfrm>
        <a:prstGeom prst="roundRect">
          <a:avLst/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80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Adicionar posto de combistível</a:t>
          </a:r>
        </a:p>
      </xdr:txBody>
    </xdr:sp>
    <xdr:clientData/>
  </xdr:twoCellAnchor>
  <xdr:twoCellAnchor>
    <xdr:from>
      <xdr:col>13</xdr:col>
      <xdr:colOff>790575</xdr:colOff>
      <xdr:row>4</xdr:row>
      <xdr:rowOff>76199</xdr:rowOff>
    </xdr:from>
    <xdr:to>
      <xdr:col>13</xdr:col>
      <xdr:colOff>2086575</xdr:colOff>
      <xdr:row>6</xdr:row>
      <xdr:rowOff>137849</xdr:rowOff>
    </xdr:to>
    <xdr:sp macro="[0]!AdicionarCombustivel" textlink="">
      <xdr:nvSpPr>
        <xdr:cNvPr id="7" name="Retângulo de cantos arredondados 6"/>
        <xdr:cNvSpPr/>
      </xdr:nvSpPr>
      <xdr:spPr>
        <a:xfrm>
          <a:off x="11077575" y="1104899"/>
          <a:ext cx="1296000" cy="480750"/>
        </a:xfrm>
        <a:prstGeom prst="roundRect">
          <a:avLst/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80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Adicionar</a:t>
          </a:r>
          <a:r>
            <a:rPr lang="pt-BR" sz="1100" b="1" baseline="0">
              <a:solidFill>
                <a:schemeClr val="accent3">
                  <a:lumMod val="50000"/>
                </a:schemeClr>
              </a:solidFill>
              <a:latin typeface="Trebuchet MS" panose="020B0603020202020204" pitchFamily="34" charset="0"/>
            </a:rPr>
            <a:t> combustível</a:t>
          </a:r>
          <a:endParaRPr lang="pt-BR" sz="1100" b="1">
            <a:solidFill>
              <a:schemeClr val="accent3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 editAs="oneCell">
    <xdr:from>
      <xdr:col>1</xdr:col>
      <xdr:colOff>57150</xdr:colOff>
      <xdr:row>0</xdr:row>
      <xdr:rowOff>200025</xdr:rowOff>
    </xdr:from>
    <xdr:to>
      <xdr:col>3</xdr:col>
      <xdr:colOff>19050</xdr:colOff>
      <xdr:row>3</xdr:row>
      <xdr:rowOff>47625</xdr:rowOff>
    </xdr:to>
    <xdr:pic>
      <xdr:nvPicPr>
        <xdr:cNvPr id="8" name="Imagem 7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00025"/>
          <a:ext cx="1095375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ofit4.com.br/materiais-gestao-frota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I25"/>
  <sheetViews>
    <sheetView showGridLines="0" showRowColHeaders="0" tabSelected="1" workbookViewId="0"/>
  </sheetViews>
  <sheetFormatPr defaultRowHeight="16.5" x14ac:dyDescent="0.3"/>
  <cols>
    <col min="1" max="1" width="6.42578125" style="32" customWidth="1"/>
    <col min="2" max="2" width="17.7109375" style="33" customWidth="1"/>
    <col min="3" max="3" width="66.5703125" style="33" customWidth="1"/>
    <col min="4" max="4" width="6.42578125" style="32" customWidth="1"/>
    <col min="5" max="5" width="72.140625" style="32" customWidth="1"/>
    <col min="6" max="6" width="3.140625" style="32" customWidth="1"/>
    <col min="7" max="7" width="2" style="32" customWidth="1"/>
    <col min="8" max="16384" width="9.140625" style="32"/>
  </cols>
  <sheetData>
    <row r="1" spans="1:9" ht="11.25" customHeight="1" x14ac:dyDescent="0.3">
      <c r="A1" s="32" t="s">
        <v>17</v>
      </c>
    </row>
    <row r="2" spans="1:9" ht="16.5" customHeight="1" x14ac:dyDescent="0.25">
      <c r="B2" s="42"/>
      <c r="C2" s="41" t="s">
        <v>37</v>
      </c>
      <c r="E2" s="44" t="s">
        <v>25</v>
      </c>
      <c r="I2" s="37"/>
    </row>
    <row r="3" spans="1:9" ht="16.5" customHeight="1" x14ac:dyDescent="0.25">
      <c r="B3" s="42"/>
      <c r="C3" s="41"/>
      <c r="E3" s="44"/>
      <c r="I3" s="35"/>
    </row>
    <row r="4" spans="1:9" ht="16.5" customHeight="1" x14ac:dyDescent="0.25">
      <c r="B4" s="42"/>
      <c r="C4" s="41"/>
      <c r="E4" s="38" t="s">
        <v>34</v>
      </c>
      <c r="I4" s="36"/>
    </row>
    <row r="5" spans="1:9" s="34" customFormat="1" ht="16.5" customHeight="1" x14ac:dyDescent="0.25">
      <c r="B5" s="42"/>
      <c r="C5" s="41"/>
      <c r="E5" s="38"/>
      <c r="I5" s="36"/>
    </row>
    <row r="6" spans="1:9" s="34" customFormat="1" ht="16.5" customHeight="1" x14ac:dyDescent="0.25">
      <c r="B6" s="43" t="s">
        <v>24</v>
      </c>
      <c r="C6" s="43"/>
      <c r="E6" s="38"/>
      <c r="I6" s="36"/>
    </row>
    <row r="7" spans="1:9" ht="16.5" customHeight="1" x14ac:dyDescent="0.25">
      <c r="B7" s="43"/>
      <c r="C7" s="43"/>
      <c r="E7" s="38"/>
    </row>
    <row r="8" spans="1:9" ht="16.5" customHeight="1" x14ac:dyDescent="0.25">
      <c r="B8" s="38" t="s">
        <v>35</v>
      </c>
      <c r="C8" s="38"/>
      <c r="E8" s="38" t="s">
        <v>26</v>
      </c>
    </row>
    <row r="9" spans="1:9" ht="16.5" customHeight="1" x14ac:dyDescent="0.25">
      <c r="B9" s="38"/>
      <c r="C9" s="38"/>
      <c r="E9" s="38"/>
    </row>
    <row r="10" spans="1:9" ht="16.5" customHeight="1" x14ac:dyDescent="0.25">
      <c r="B10" s="38"/>
      <c r="C10" s="38"/>
      <c r="E10" s="38"/>
    </row>
    <row r="11" spans="1:9" ht="16.5" customHeight="1" x14ac:dyDescent="0.25">
      <c r="B11" s="38"/>
      <c r="C11" s="38"/>
      <c r="E11" s="38" t="s">
        <v>27</v>
      </c>
    </row>
    <row r="12" spans="1:9" ht="16.5" customHeight="1" x14ac:dyDescent="0.25">
      <c r="B12" s="38"/>
      <c r="C12" s="38"/>
      <c r="E12" s="38"/>
    </row>
    <row r="13" spans="1:9" ht="16.5" customHeight="1" x14ac:dyDescent="0.25">
      <c r="B13" s="38"/>
      <c r="C13" s="38"/>
      <c r="E13" s="38"/>
    </row>
    <row r="14" spans="1:9" ht="16.5" customHeight="1" x14ac:dyDescent="0.25">
      <c r="B14" s="38"/>
      <c r="C14" s="38"/>
      <c r="E14" s="38" t="s">
        <v>28</v>
      </c>
    </row>
    <row r="15" spans="1:9" ht="16.5" customHeight="1" x14ac:dyDescent="0.25">
      <c r="B15" s="38" t="s">
        <v>29</v>
      </c>
      <c r="C15" s="38"/>
      <c r="E15" s="38"/>
    </row>
    <row r="16" spans="1:9" ht="16.5" customHeight="1" x14ac:dyDescent="0.25">
      <c r="B16" s="38"/>
      <c r="C16" s="38"/>
      <c r="E16" s="38"/>
    </row>
    <row r="17" spans="2:5" ht="16.5" customHeight="1" x14ac:dyDescent="0.25">
      <c r="B17" s="38"/>
      <c r="C17" s="38"/>
      <c r="E17" s="38"/>
    </row>
    <row r="18" spans="2:5" ht="16.5" customHeight="1" x14ac:dyDescent="0.25">
      <c r="B18" s="38"/>
      <c r="C18" s="38"/>
      <c r="E18" s="38"/>
    </row>
    <row r="19" spans="2:5" ht="16.5" customHeight="1" x14ac:dyDescent="0.25">
      <c r="B19" s="38"/>
      <c r="C19" s="38"/>
      <c r="E19" s="38"/>
    </row>
    <row r="20" spans="2:5" ht="16.5" customHeight="1" x14ac:dyDescent="0.25">
      <c r="B20" s="36"/>
      <c r="C20" s="36"/>
      <c r="E20" s="38" t="s">
        <v>30</v>
      </c>
    </row>
    <row r="21" spans="2:5" ht="15" customHeight="1" x14ac:dyDescent="0.25">
      <c r="B21" s="38" t="s">
        <v>38</v>
      </c>
      <c r="C21" s="38"/>
      <c r="E21" s="38"/>
    </row>
    <row r="22" spans="2:5" ht="15" customHeight="1" x14ac:dyDescent="0.25">
      <c r="B22" s="38"/>
      <c r="C22" s="38"/>
      <c r="E22" s="38"/>
    </row>
    <row r="23" spans="2:5" ht="15" customHeight="1" x14ac:dyDescent="0.25">
      <c r="B23" s="38"/>
      <c r="C23" s="38"/>
      <c r="E23" s="38"/>
    </row>
    <row r="24" spans="2:5" ht="15" customHeight="1" x14ac:dyDescent="0.25">
      <c r="B24" s="39" t="s">
        <v>36</v>
      </c>
      <c r="C24" s="40"/>
      <c r="E24" s="38"/>
    </row>
    <row r="25" spans="2:5" ht="15" customHeight="1" x14ac:dyDescent="0.25">
      <c r="B25" s="40"/>
      <c r="C25" s="40"/>
      <c r="E25" s="38"/>
    </row>
  </sheetData>
  <sheetProtection password="E538" sheet="1" objects="1" scenarios="1" selectLockedCells="1"/>
  <mergeCells count="13">
    <mergeCell ref="B15:C19"/>
    <mergeCell ref="E20:E25"/>
    <mergeCell ref="B21:C23"/>
    <mergeCell ref="B24:C25"/>
    <mergeCell ref="C2:C5"/>
    <mergeCell ref="B2:B5"/>
    <mergeCell ref="B6:C7"/>
    <mergeCell ref="B8:C14"/>
    <mergeCell ref="E2:E3"/>
    <mergeCell ref="E4:E7"/>
    <mergeCell ref="E8:E10"/>
    <mergeCell ref="E11:E13"/>
    <mergeCell ref="E14:E19"/>
  </mergeCells>
  <hyperlinks>
    <hyperlink ref="B24" r:id="rId1"/>
  </hyperlinks>
  <pageMargins left="0.511811024" right="0.511811024" top="0.78740157499999996" bottom="0.78740157499999996" header="0.31496062000000002" footer="0.31496062000000002"/>
  <pageSetup paperSize="9" orientation="portrait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FFFF00"/>
  </sheetPr>
  <dimension ref="A1:R9"/>
  <sheetViews>
    <sheetView showGridLines="0" showRowColHeaders="0" zoomScaleNormal="10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5" x14ac:dyDescent="0.25"/>
  <cols>
    <col min="1" max="1" width="1" style="4" customWidth="1"/>
    <col min="2" max="2" width="10.7109375" style="4" bestFit="1" customWidth="1"/>
    <col min="3" max="3" width="6.28515625" style="4" customWidth="1"/>
    <col min="4" max="4" width="13" style="4" customWidth="1"/>
    <col min="5" max="5" width="18.5703125" style="4" customWidth="1"/>
    <col min="6" max="6" width="21.5703125" style="4" customWidth="1"/>
    <col min="7" max="7" width="13.7109375" style="4" bestFit="1" customWidth="1"/>
    <col min="8" max="8" width="9.42578125" style="5" customWidth="1"/>
    <col min="9" max="9" width="12.140625" style="4" bestFit="1" customWidth="1"/>
    <col min="10" max="10" width="13.28515625" style="5" bestFit="1" customWidth="1"/>
    <col min="11" max="11" width="16.140625" style="5" bestFit="1" customWidth="1"/>
    <col min="12" max="12" width="10.42578125" style="5" customWidth="1"/>
    <col min="13" max="13" width="8.5703125" style="6" bestFit="1" customWidth="1"/>
    <col min="14" max="14" width="32.42578125" style="4" customWidth="1"/>
    <col min="15" max="16" width="9.140625" style="4"/>
    <col min="17" max="18" width="9.140625" style="4" customWidth="1"/>
    <col min="19" max="16384" width="9.140625" style="4"/>
  </cols>
  <sheetData>
    <row r="1" spans="1:18" s="2" customFormat="1" ht="21" customHeight="1" x14ac:dyDescent="0.3">
      <c r="A1" s="1"/>
      <c r="B1" s="1"/>
      <c r="C1" s="1"/>
      <c r="D1" s="45" t="s">
        <v>13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1"/>
    </row>
    <row r="2" spans="1:18" s="2" customFormat="1" ht="21" customHeight="1" x14ac:dyDescent="0.3">
      <c r="A2" s="1"/>
      <c r="B2" s="1"/>
      <c r="C2" s="1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1"/>
    </row>
    <row r="3" spans="1:18" s="2" customFormat="1" ht="21" customHeight="1" x14ac:dyDescent="0.3">
      <c r="A3" s="1"/>
      <c r="B3" s="1"/>
      <c r="C3" s="1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1"/>
    </row>
    <row r="4" spans="1:18" s="19" customFormat="1" ht="18" customHeight="1" x14ac:dyDescent="0.3">
      <c r="A4" s="16"/>
      <c r="B4" s="1"/>
      <c r="C4" s="1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16"/>
    </row>
    <row r="5" spans="1:18" ht="16.5" x14ac:dyDescent="0.3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Q5" s="4" t="s">
        <v>32</v>
      </c>
    </row>
    <row r="6" spans="1:18" ht="16.5" x14ac:dyDescent="0.3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Q6" s="4" t="s">
        <v>33</v>
      </c>
    </row>
    <row r="7" spans="1:18" ht="16.5" x14ac:dyDescent="0.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8" ht="16.5" x14ac:dyDescent="0.25">
      <c r="B8" s="17" t="s">
        <v>0</v>
      </c>
      <c r="C8" s="14" t="s">
        <v>1</v>
      </c>
      <c r="D8" s="14" t="s">
        <v>2</v>
      </c>
      <c r="E8" s="14" t="s">
        <v>3</v>
      </c>
      <c r="F8" s="14" t="s">
        <v>4</v>
      </c>
      <c r="G8" s="14" t="s">
        <v>5</v>
      </c>
      <c r="H8" s="14" t="s">
        <v>6</v>
      </c>
      <c r="I8" s="14" t="s">
        <v>7</v>
      </c>
      <c r="J8" s="14" t="s">
        <v>8</v>
      </c>
      <c r="K8" s="14" t="s">
        <v>31</v>
      </c>
      <c r="L8" s="14" t="s">
        <v>9</v>
      </c>
      <c r="M8" s="14" t="s">
        <v>10</v>
      </c>
      <c r="N8" s="18" t="s">
        <v>11</v>
      </c>
    </row>
    <row r="9" spans="1:18" x14ac:dyDescent="0.25">
      <c r="B9" s="7">
        <v>41640</v>
      </c>
      <c r="C9" s="8"/>
      <c r="D9" s="9"/>
      <c r="E9" s="9"/>
      <c r="F9" s="9"/>
      <c r="G9" s="9"/>
      <c r="H9" s="10"/>
      <c r="I9" s="11"/>
      <c r="J9" s="10"/>
      <c r="K9" s="10"/>
      <c r="L9" s="12" t="str">
        <f>IF(OR(J9="",D9=""),"",Distancia(J9,D9))</f>
        <v/>
      </c>
      <c r="M9" s="13" t="str">
        <f>IF(AND(L9&gt;0,L9&lt;&gt;"",L9&lt;&gt;"1º valor"),KML(L9,D9,K9,H9),"")</f>
        <v/>
      </c>
      <c r="N9" s="9"/>
      <c r="Q9" s="4" t="e">
        <f>MONTH(#REF!)</f>
        <v>#REF!</v>
      </c>
      <c r="R9" s="4" t="e">
        <f>YEAR(#REF!)</f>
        <v>#REF!</v>
      </c>
    </row>
  </sheetData>
  <sheetProtection sheet="1" objects="1" scenarios="1" selectLockedCells="1"/>
  <mergeCells count="1">
    <mergeCell ref="D1:N4"/>
  </mergeCells>
  <dataValidations count="11">
    <dataValidation type="list" allowBlank="1" showInputMessage="1" showErrorMessage="1" sqref="D9">
      <formula1>Veículos</formula1>
    </dataValidation>
    <dataValidation type="list" allowBlank="1" showInputMessage="1" showErrorMessage="1" sqref="E9">
      <formula1>Motoristas</formula1>
    </dataValidation>
    <dataValidation type="list" allowBlank="1" showInputMessage="1" showErrorMessage="1" sqref="F9">
      <formula1>Postos</formula1>
    </dataValidation>
    <dataValidation type="list" allowBlank="1" showInputMessage="1" showErrorMessage="1" sqref="G9">
      <formula1>Combustíveis2</formula1>
    </dataValidation>
    <dataValidation type="date" operator="lessThanOrEqual" allowBlank="1" showInputMessage="1" showErrorMessage="1" errorTitle="Data futura" error="A data do abastecimento não pode ser maior que hoje!" sqref="B9">
      <formula1>TODAY()</formula1>
    </dataValidation>
    <dataValidation type="time" operator="greaterThanOrEqual" allowBlank="1" showInputMessage="1" showErrorMessage="1" sqref="C9">
      <formula1>0</formula1>
    </dataValidation>
    <dataValidation type="decimal" operator="greaterThan" allowBlank="1" showInputMessage="1" showErrorMessage="1" errorTitle="Quantidade igual a zero" error="A quantidade de litros abastecida deve ser maior do que zero!" sqref="H9">
      <formula1>0</formula1>
    </dataValidation>
    <dataValidation type="decimal" operator="greaterThan" allowBlank="1" showInputMessage="1" showErrorMessage="1" errorTitle="Valor igual a zero" error="O valor do abastecimento deve ser maior do que zero!" sqref="I9">
      <formula1>0</formula1>
    </dataValidation>
    <dataValidation type="decimal" operator="greaterThan" allowBlank="1" showInputMessage="1" showErrorMessage="1" errorTitle="Hodômetro igual a zero" error="O hodômetro do veículo deve ser maior que zero!" sqref="J9">
      <formula1>0</formula1>
    </dataValidation>
    <dataValidation operator="greaterThan" allowBlank="1" showInputMessage="1" showErrorMessage="1" sqref="L9"/>
    <dataValidation type="list" allowBlank="1" showInputMessage="1" showErrorMessage="1" errorTitle="Valor diferente de Sim ou Não" error="Preencha &quot;Sim&quot; caso neste abastecimento tenha sido cheio o tanque do veículo. Se não encheu o tanque, preencha &quot;Não&quot;._x000a_" sqref="K9">
      <formula1>$Q$5:$Q$6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FFFF00"/>
  </sheetPr>
  <dimension ref="B2:J53"/>
  <sheetViews>
    <sheetView showGridLines="0" showRowColHeaders="0" workbookViewId="0"/>
  </sheetViews>
  <sheetFormatPr defaultRowHeight="16.5" x14ac:dyDescent="0.25"/>
  <cols>
    <col min="1" max="1" width="4.140625" style="20" customWidth="1"/>
    <col min="2" max="2" width="13" style="20" customWidth="1"/>
    <col min="3" max="3" width="15.7109375" style="20" bestFit="1" customWidth="1"/>
    <col min="4" max="4" width="13.5703125" style="20" customWidth="1"/>
    <col min="5" max="5" width="14.28515625" style="20" customWidth="1"/>
    <col min="6" max="6" width="12.7109375" style="20" customWidth="1"/>
    <col min="7" max="7" width="4.28515625" style="20" customWidth="1"/>
    <col min="8" max="8" width="8.42578125" style="21" customWidth="1"/>
    <col min="9" max="9" width="13.28515625" style="20" customWidth="1"/>
    <col min="10" max="10" width="13.42578125" style="20" customWidth="1"/>
    <col min="11" max="16384" width="9.140625" style="20"/>
  </cols>
  <sheetData>
    <row r="2" spans="2:10" x14ac:dyDescent="0.25">
      <c r="B2" s="22" t="s">
        <v>18</v>
      </c>
      <c r="C2" s="23" t="s">
        <v>19</v>
      </c>
      <c r="D2" s="23" t="s">
        <v>20</v>
      </c>
      <c r="E2" s="22" t="s">
        <v>21</v>
      </c>
      <c r="F2" s="23" t="s">
        <v>23</v>
      </c>
      <c r="H2" s="22" t="s">
        <v>22</v>
      </c>
      <c r="I2" s="23" t="s">
        <v>20</v>
      </c>
      <c r="J2" s="23" t="s">
        <v>23</v>
      </c>
    </row>
    <row r="3" spans="2:10" x14ac:dyDescent="0.25">
      <c r="B3" s="24" t="str">
        <f>IF(Veículos!A2="","",Veículos!A2)</f>
        <v/>
      </c>
      <c r="C3" s="25" t="str">
        <f>IF(SUMIFS(Controle!$L$9:$L$4996,Controle!$D$9:$D$4996,Relatórios!$B3)&gt;0,SUMIFS(Controle!$L$9:$L$4996,Controle!$D$9:$D$4996,Relatórios!$B3),"")</f>
        <v/>
      </c>
      <c r="D3" s="25" t="str">
        <f>IF((SUMIFS(Controle!$H$9:$H$4996,Controle!$D$9:$D$4996,Relatórios!$B3)-SUMIFS(Controle!$H$9:$H$4996,Controle!$L$9:$L$4996,"1º valor"))&gt;0,(SUMIFS(Controle!$H$9:$H$4996,Controle!$D$9:$D$4996,Relatórios!$B3)-SUMIFS(Controle!$H$9:$H$4996,Controle!$L$9:$L$4996,"1º valor")),"")</f>
        <v/>
      </c>
      <c r="E3" s="26" t="str">
        <f>IF(AND(C3&lt;&gt;"",D3&lt;&gt;""),C3/D3,"")</f>
        <v/>
      </c>
      <c r="F3" s="27" t="str">
        <f>IF(SUMIFS(Controle!$I$9:$I$4996,Controle!$D$9:$D$4996,Relatórios!$B3)&gt;0,SUMIFS(Controle!$I$9:$I$4996,Controle!$D$9:$D$4996,Relatórios!$B3),"")</f>
        <v/>
      </c>
      <c r="H3" s="28">
        <v>41640</v>
      </c>
      <c r="I3" s="26" t="str">
        <f>IF(SUMIFS(Controle!$H$9:$H$4996,Controle!$Q$5:$Q$4992,MONTH(Relatórios!$H3),Controle!$R$5:$R$4992,YEAR(Relatórios!$H3))&gt;0,SUMIFS(Controle!$H$9:$H$4996,Controle!$Q$5:$Q$4992,MONTH(Relatórios!$H3),Controle!$R$5:$R$4992,YEAR(Relatórios!$H3)),"")</f>
        <v/>
      </c>
      <c r="J3" s="27" t="str">
        <f>IF(SUMIFS(Controle!$I$9:$I$4996,Controle!$Q$5:$Q$4992,MONTH(Relatórios!$H3),Controle!$R$5:$R$4992,YEAR(Relatórios!$H3))&gt;0,SUMIFS(Controle!$I$9:$I$4996,Controle!$Q$5:$Q$4992,MONTH(Relatórios!$H3),Controle!$R$5:$R$4992,YEAR(Relatórios!$H3)),"")</f>
        <v/>
      </c>
    </row>
    <row r="4" spans="2:10" x14ac:dyDescent="0.25">
      <c r="B4" s="24" t="str">
        <f>IF(Veículos!A3="","",Veículos!A3)</f>
        <v/>
      </c>
      <c r="C4" s="25" t="str">
        <f>IF(SUMIFS(Controle!$L$9:$L$4996,Controle!$D$9:$D$4996,Relatórios!$B4)&gt;0,SUMIFS(Controle!$L$9:$L$4996,Controle!$D$9:$D$4996,Relatórios!$B4),"")</f>
        <v/>
      </c>
      <c r="D4" s="25" t="str">
        <f>IF(SUMIFS(Controle!$H$9:$H$4996,Controle!$D$9:$D$4996,Relatórios!$B4)&gt;0,SUMIFS(Controle!$H$9:$H$4996,Controle!$D$9:$D$4996,Relatórios!$B4),"")</f>
        <v/>
      </c>
      <c r="E4" s="26" t="str">
        <f t="shared" ref="E4:E52" si="0">IF(AND(C4&lt;&gt;"",D4&lt;&gt;""),C4/D4,"")</f>
        <v/>
      </c>
      <c r="F4" s="27" t="str">
        <f>IF(SUMIFS(Controle!$I$9:$I$4996,Controle!$D$9:$D$4996,Relatórios!$B4)&gt;0,SUMIFS(Controle!$I$9:$I$4996,Controle!$D$9:$D$4996,Relatórios!$B4),"")</f>
        <v/>
      </c>
      <c r="H4" s="28">
        <v>41671</v>
      </c>
      <c r="I4" s="26" t="str">
        <f>IF(SUMIFS(Controle!$H$9:$H$4996,Controle!$Q$5:$Q$4992,MONTH(Relatórios!$H4),Controle!$R$5:$R$4992,YEAR(Relatórios!$H4))&gt;0,SUMIFS(Controle!$H$9:$H$4996,Controle!$Q$5:$Q$4992,MONTH(Relatórios!$H4),Controle!$R$5:$R$4992,YEAR(Relatórios!$H4)),"")</f>
        <v/>
      </c>
      <c r="J4" s="27" t="str">
        <f>IF(SUMIFS(Controle!$I$9:$I$4996,Controle!$Q$5:$Q$4992,MONTH(Relatórios!$H4),Controle!$R$5:$R$4992,YEAR(Relatórios!$H4))&gt;0,SUMIFS(Controle!$I$9:$I$4996,Controle!$Q$5:$Q$4992,MONTH(Relatórios!$H4),Controle!$R$5:$R$4992,YEAR(Relatórios!$H4)),"")</f>
        <v/>
      </c>
    </row>
    <row r="5" spans="2:10" x14ac:dyDescent="0.25">
      <c r="B5" s="24" t="str">
        <f>IF(Veículos!A4="","",Veículos!A4)</f>
        <v/>
      </c>
      <c r="C5" s="25" t="str">
        <f>IF(SUMIFS(Controle!$L$9:$L$4996,Controle!$D$9:$D$4996,Relatórios!$B5)&gt;0,SUMIFS(Controle!$L$9:$L$4996,Controle!$D$9:$D$4996,Relatórios!$B5),"")</f>
        <v/>
      </c>
      <c r="D5" s="25" t="str">
        <f>IF(SUMIFS(Controle!$H$9:$H$4996,Controle!$D$9:$D$4996,Relatórios!$B5)&gt;0,SUMIFS(Controle!$H$9:$H$4996,Controle!$D$9:$D$4996,Relatórios!$B5),"")</f>
        <v/>
      </c>
      <c r="E5" s="26" t="str">
        <f t="shared" si="0"/>
        <v/>
      </c>
      <c r="F5" s="27" t="str">
        <f>IF(SUMIFS(Controle!$I$9:$I$4996,Controle!$D$9:$D$4996,Relatórios!$B5)&gt;0,SUMIFS(Controle!$I$9:$I$4996,Controle!$D$9:$D$4996,Relatórios!$B5),"")</f>
        <v/>
      </c>
      <c r="H5" s="28">
        <v>41699</v>
      </c>
      <c r="I5" s="26" t="str">
        <f>IF(SUMIFS(Controle!$H$9:$H$4996,Controle!$Q$5:$Q$4992,MONTH(Relatórios!$H5),Controle!$R$5:$R$4992,YEAR(Relatórios!$H5))&gt;0,SUMIFS(Controle!$H$9:$H$4996,Controle!$Q$5:$Q$4992,MONTH(Relatórios!$H5),Controle!$R$5:$R$4992,YEAR(Relatórios!$H5)),"")</f>
        <v/>
      </c>
      <c r="J5" s="27" t="str">
        <f>IF(SUMIFS(Controle!$I$9:$I$4996,Controle!$Q$5:$Q$4992,MONTH(Relatórios!$H5),Controle!$R$5:$R$4992,YEAR(Relatórios!$H5))&gt;0,SUMIFS(Controle!$I$9:$I$4996,Controle!$Q$5:$Q$4992,MONTH(Relatórios!$H5),Controle!$R$5:$R$4992,YEAR(Relatórios!$H5)),"")</f>
        <v/>
      </c>
    </row>
    <row r="6" spans="2:10" x14ac:dyDescent="0.25">
      <c r="B6" s="24" t="str">
        <f>IF(Veículos!A5="","",Veículos!A5)</f>
        <v/>
      </c>
      <c r="C6" s="25" t="str">
        <f>IF(SUMIFS(Controle!$L$9:$L$4996,Controle!$D$9:$D$4996,Relatórios!$B6)&gt;0,SUMIFS(Controle!$L$9:$L$4996,Controle!$D$9:$D$4996,Relatórios!$B6),"")</f>
        <v/>
      </c>
      <c r="D6" s="25" t="str">
        <f>IF(SUMIFS(Controle!$H$9:$H$4996,Controle!$D$9:$D$4996,Relatórios!$B6)&gt;0,SUMIFS(Controle!$H$9:$H$4996,Controle!$D$9:$D$4996,Relatórios!$B6),"")</f>
        <v/>
      </c>
      <c r="E6" s="26" t="str">
        <f t="shared" si="0"/>
        <v/>
      </c>
      <c r="F6" s="27" t="str">
        <f>IF(SUMIFS(Controle!$I$9:$I$4996,Controle!$D$9:$D$4996,Relatórios!$B6)&gt;0,SUMIFS(Controle!$I$9:$I$4996,Controle!$D$9:$D$4996,Relatórios!$B6),"")</f>
        <v/>
      </c>
      <c r="H6" s="28">
        <v>41730</v>
      </c>
      <c r="I6" s="26" t="str">
        <f>IF(SUMIFS(Controle!$H$9:$H$4996,Controle!$Q$5:$Q$4992,MONTH(Relatórios!$H6),Controle!$R$5:$R$4992,YEAR(Relatórios!$H6))&gt;0,SUMIFS(Controle!$H$9:$H$4996,Controle!$Q$5:$Q$4992,MONTH(Relatórios!$H6),Controle!$R$5:$R$4992,YEAR(Relatórios!$H6)),"")</f>
        <v/>
      </c>
      <c r="J6" s="27" t="str">
        <f>IF(SUMIFS(Controle!$I$9:$I$4996,Controle!$Q$5:$Q$4992,MONTH(Relatórios!$H6),Controle!$R$5:$R$4992,YEAR(Relatórios!$H6))&gt;0,SUMIFS(Controle!$I$9:$I$4996,Controle!$Q$5:$Q$4992,MONTH(Relatórios!$H6),Controle!$R$5:$R$4992,YEAR(Relatórios!$H6)),"")</f>
        <v/>
      </c>
    </row>
    <row r="7" spans="2:10" x14ac:dyDescent="0.25">
      <c r="B7" s="24" t="str">
        <f>IF(Veículos!A6="","",Veículos!A6)</f>
        <v/>
      </c>
      <c r="C7" s="25" t="str">
        <f>IF(SUMIFS(Controle!$L$9:$L$4996,Controle!$D$9:$D$4996,Relatórios!$B7)&gt;0,SUMIFS(Controle!$L$9:$L$4996,Controle!$D$9:$D$4996,Relatórios!$B7),"")</f>
        <v/>
      </c>
      <c r="D7" s="25" t="str">
        <f>IF(SUMIFS(Controle!$H$9:$H$4996,Controle!$D$9:$D$4996,Relatórios!$B7)&gt;0,SUMIFS(Controle!$H$9:$H$4996,Controle!$D$9:$D$4996,Relatórios!$B7),"")</f>
        <v/>
      </c>
      <c r="E7" s="26" t="str">
        <f t="shared" si="0"/>
        <v/>
      </c>
      <c r="F7" s="27" t="str">
        <f>IF(SUMIFS(Controle!$I$9:$I$4996,Controle!$D$9:$D$4996,Relatórios!$B7)&gt;0,SUMIFS(Controle!$I$9:$I$4996,Controle!$D$9:$D$4996,Relatórios!$B7),"")</f>
        <v/>
      </c>
      <c r="H7" s="28">
        <v>41760</v>
      </c>
      <c r="I7" s="26" t="str">
        <f>IF(SUMIFS(Controle!$H$9:$H$4996,Controle!$Q$5:$Q$4992,MONTH(Relatórios!$H7),Controle!$R$5:$R$4992,YEAR(Relatórios!$H7))&gt;0,SUMIFS(Controle!$H$9:$H$4996,Controle!$Q$5:$Q$4992,MONTH(Relatórios!$H7),Controle!$R$5:$R$4992,YEAR(Relatórios!$H7)),"")</f>
        <v/>
      </c>
      <c r="J7" s="27" t="str">
        <f>IF(SUMIFS(Controle!$I$9:$I$4996,Controle!$Q$5:$Q$4992,MONTH(Relatórios!$H7),Controle!$R$5:$R$4992,YEAR(Relatórios!$H7))&gt;0,SUMIFS(Controle!$I$9:$I$4996,Controle!$Q$5:$Q$4992,MONTH(Relatórios!$H7),Controle!$R$5:$R$4992,YEAR(Relatórios!$H7)),"")</f>
        <v/>
      </c>
    </row>
    <row r="8" spans="2:10" x14ac:dyDescent="0.25">
      <c r="B8" s="24" t="str">
        <f>IF(Veículos!A7="","",Veículos!A7)</f>
        <v/>
      </c>
      <c r="C8" s="25" t="str">
        <f>IF(SUMIFS(Controle!$L$9:$L$4996,Controle!$D$9:$D$4996,Relatórios!$B8)&gt;0,SUMIFS(Controle!$L$9:$L$4996,Controle!$D$9:$D$4996,Relatórios!$B8),"")</f>
        <v/>
      </c>
      <c r="D8" s="25" t="str">
        <f>IF(SUMIFS(Controle!$H$9:$H$4996,Controle!$D$9:$D$4996,Relatórios!$B8)&gt;0,SUMIFS(Controle!$H$9:$H$4996,Controle!$D$9:$D$4996,Relatórios!$B8),"")</f>
        <v/>
      </c>
      <c r="E8" s="26" t="str">
        <f t="shared" si="0"/>
        <v/>
      </c>
      <c r="F8" s="27" t="str">
        <f>IF(SUMIFS(Controle!$I$9:$I$4996,Controle!$D$9:$D$4996,Relatórios!$B8)&gt;0,SUMIFS(Controle!$I$9:$I$4996,Controle!$D$9:$D$4996,Relatórios!$B8),"")</f>
        <v/>
      </c>
      <c r="H8" s="28">
        <v>41791</v>
      </c>
      <c r="I8" s="26" t="str">
        <f>IF(SUMIFS(Controle!$H$9:$H$4996,Controle!$Q$5:$Q$4992,MONTH(Relatórios!$H8),Controle!$R$5:$R$4992,YEAR(Relatórios!$H8))&gt;0,SUMIFS(Controle!$H$9:$H$4996,Controle!$Q$5:$Q$4992,MONTH(Relatórios!$H8),Controle!$R$5:$R$4992,YEAR(Relatórios!$H8)),"")</f>
        <v/>
      </c>
      <c r="J8" s="27" t="str">
        <f>IF(SUMIFS(Controle!$I$9:$I$4996,Controle!$Q$5:$Q$4992,MONTH(Relatórios!$H8),Controle!$R$5:$R$4992,YEAR(Relatórios!$H8))&gt;0,SUMIFS(Controle!$I$9:$I$4996,Controle!$Q$5:$Q$4992,MONTH(Relatórios!$H8),Controle!$R$5:$R$4992,YEAR(Relatórios!$H8)),"")</f>
        <v/>
      </c>
    </row>
    <row r="9" spans="2:10" x14ac:dyDescent="0.25">
      <c r="B9" s="24" t="str">
        <f>IF(Veículos!A8="","",Veículos!A8)</f>
        <v/>
      </c>
      <c r="C9" s="25" t="str">
        <f>IF(SUMIFS(Controle!$L$9:$L$4996,Controle!$D$9:$D$4996,Relatórios!$B9)&gt;0,SUMIFS(Controle!$L$9:$L$4996,Controle!$D$9:$D$4996,Relatórios!$B9),"")</f>
        <v/>
      </c>
      <c r="D9" s="25" t="str">
        <f>IF(SUMIFS(Controle!$H$9:$H$4996,Controle!$D$9:$D$4996,Relatórios!$B9)&gt;0,SUMIFS(Controle!$H$9:$H$4996,Controle!$D$9:$D$4996,Relatórios!$B9),"")</f>
        <v/>
      </c>
      <c r="E9" s="26" t="str">
        <f t="shared" si="0"/>
        <v/>
      </c>
      <c r="F9" s="27" t="str">
        <f>IF(SUMIFS(Controle!$I$9:$I$4996,Controle!$D$9:$D$4996,Relatórios!$B9)&gt;0,SUMIFS(Controle!$I$9:$I$4996,Controle!$D$9:$D$4996,Relatórios!$B9),"")</f>
        <v/>
      </c>
      <c r="H9" s="28">
        <v>41821</v>
      </c>
      <c r="I9" s="26" t="str">
        <f>IF(SUMIFS(Controle!$H$9:$H$4996,Controle!$Q$5:$Q$4992,MONTH(Relatórios!$H9),Controle!$R$5:$R$4992,YEAR(Relatórios!$H9))&gt;0,SUMIFS(Controle!$H$9:$H$4996,Controle!$Q$5:$Q$4992,MONTH(Relatórios!$H9),Controle!$R$5:$R$4992,YEAR(Relatórios!$H9)),"")</f>
        <v/>
      </c>
      <c r="J9" s="27" t="str">
        <f>IF(SUMIFS(Controle!$I$9:$I$4996,Controle!$Q$5:$Q$4992,MONTH(Relatórios!$H9),Controle!$R$5:$R$4992,YEAR(Relatórios!$H9))&gt;0,SUMIFS(Controle!$I$9:$I$4996,Controle!$Q$5:$Q$4992,MONTH(Relatórios!$H9),Controle!$R$5:$R$4992,YEAR(Relatórios!$H9)),"")</f>
        <v/>
      </c>
    </row>
    <row r="10" spans="2:10" x14ac:dyDescent="0.25">
      <c r="B10" s="24" t="str">
        <f>IF(Veículos!A9="","",Veículos!A9)</f>
        <v/>
      </c>
      <c r="C10" s="25" t="str">
        <f>IF(SUMIFS(Controle!$L$9:$L$4996,Controle!$D$9:$D$4996,Relatórios!$B10)&gt;0,SUMIFS(Controle!$L$9:$L$4996,Controle!$D$9:$D$4996,Relatórios!$B10),"")</f>
        <v/>
      </c>
      <c r="D10" s="25" t="str">
        <f>IF(SUMIFS(Controle!$H$9:$H$4996,Controle!$D$9:$D$4996,Relatórios!$B10)&gt;0,SUMIFS(Controle!$H$9:$H$4996,Controle!$D$9:$D$4996,Relatórios!$B10),"")</f>
        <v/>
      </c>
      <c r="E10" s="26" t="str">
        <f t="shared" si="0"/>
        <v/>
      </c>
      <c r="F10" s="27" t="str">
        <f>IF(SUMIFS(Controle!$I$9:$I$4996,Controle!$D$9:$D$4996,Relatórios!$B10)&gt;0,SUMIFS(Controle!$I$9:$I$4996,Controle!$D$9:$D$4996,Relatórios!$B10),"")</f>
        <v/>
      </c>
      <c r="H10" s="28">
        <v>41852</v>
      </c>
      <c r="I10" s="26" t="str">
        <f>IF(SUMIFS(Controle!$H$9:$H$4996,Controle!$Q$5:$Q$4992,MONTH(Relatórios!$H10),Controle!$R$5:$R$4992,YEAR(Relatórios!$H10))&gt;0,SUMIFS(Controle!$H$9:$H$4996,Controle!$Q$5:$Q$4992,MONTH(Relatórios!$H10),Controle!$R$5:$R$4992,YEAR(Relatórios!$H10)),"")</f>
        <v/>
      </c>
      <c r="J10" s="27" t="str">
        <f>IF(SUMIFS(Controle!$I$9:$I$4996,Controle!$Q$5:$Q$4992,MONTH(Relatórios!$H10),Controle!$R$5:$R$4992,YEAR(Relatórios!$H10))&gt;0,SUMIFS(Controle!$I$9:$I$4996,Controle!$Q$5:$Q$4992,MONTH(Relatórios!$H10),Controle!$R$5:$R$4992,YEAR(Relatórios!$H10)),"")</f>
        <v/>
      </c>
    </row>
    <row r="11" spans="2:10" x14ac:dyDescent="0.25">
      <c r="B11" s="24" t="str">
        <f>IF(Veículos!A10="","",Veículos!A10)</f>
        <v/>
      </c>
      <c r="C11" s="25" t="str">
        <f>IF(SUMIFS(Controle!$L$9:$L$4996,Controle!$D$9:$D$4996,Relatórios!$B11)&gt;0,SUMIFS(Controle!$L$9:$L$4996,Controle!$D$9:$D$4996,Relatórios!$B11),"")</f>
        <v/>
      </c>
      <c r="D11" s="25" t="str">
        <f>IF(SUMIFS(Controle!$H$9:$H$4996,Controle!$D$9:$D$4996,Relatórios!$B11)&gt;0,SUMIFS(Controle!$H$9:$H$4996,Controle!$D$9:$D$4996,Relatórios!$B11),"")</f>
        <v/>
      </c>
      <c r="E11" s="26" t="str">
        <f t="shared" si="0"/>
        <v/>
      </c>
      <c r="F11" s="27" t="str">
        <f>IF(SUMIFS(Controle!$I$9:$I$4996,Controle!$D$9:$D$4996,Relatórios!$B11)&gt;0,SUMIFS(Controle!$I$9:$I$4996,Controle!$D$9:$D$4996,Relatórios!$B11),"")</f>
        <v/>
      </c>
      <c r="H11" s="28">
        <v>41883</v>
      </c>
      <c r="I11" s="26" t="str">
        <f>IF(SUMIFS(Controle!$H$9:$H$4996,Controle!$Q$5:$Q$4992,MONTH(Relatórios!$H11),Controle!$R$5:$R$4992,YEAR(Relatórios!$H11))&gt;0,SUMIFS(Controle!$H$9:$H$4996,Controle!$Q$5:$Q$4992,MONTH(Relatórios!$H11),Controle!$R$5:$R$4992,YEAR(Relatórios!$H11)),"")</f>
        <v/>
      </c>
      <c r="J11" s="27" t="str">
        <f>IF(SUMIFS(Controle!$I$9:$I$4996,Controle!$Q$5:$Q$4992,MONTH(Relatórios!$H11),Controle!$R$5:$R$4992,YEAR(Relatórios!$H11))&gt;0,SUMIFS(Controle!$I$9:$I$4996,Controle!$Q$5:$Q$4992,MONTH(Relatórios!$H11),Controle!$R$5:$R$4992,YEAR(Relatórios!$H11)),"")</f>
        <v/>
      </c>
    </row>
    <row r="12" spans="2:10" x14ac:dyDescent="0.25">
      <c r="B12" s="24" t="str">
        <f>IF(Veículos!A11="","",Veículos!A11)</f>
        <v/>
      </c>
      <c r="C12" s="25" t="str">
        <f>IF(SUMIFS(Controle!$L$9:$L$4996,Controle!$D$9:$D$4996,Relatórios!$B12)&gt;0,SUMIFS(Controle!$L$9:$L$4996,Controle!$D$9:$D$4996,Relatórios!$B12),"")</f>
        <v/>
      </c>
      <c r="D12" s="25" t="str">
        <f>IF(SUMIFS(Controle!$H$9:$H$4996,Controle!$D$9:$D$4996,Relatórios!$B12)&gt;0,SUMIFS(Controle!$H$9:$H$4996,Controle!$D$9:$D$4996,Relatórios!$B12),"")</f>
        <v/>
      </c>
      <c r="E12" s="26" t="str">
        <f t="shared" si="0"/>
        <v/>
      </c>
      <c r="F12" s="27" t="str">
        <f>IF(SUMIFS(Controle!$I$9:$I$4996,Controle!$D$9:$D$4996,Relatórios!$B12)&gt;0,SUMIFS(Controle!$I$9:$I$4996,Controle!$D$9:$D$4996,Relatórios!$B12),"")</f>
        <v/>
      </c>
      <c r="H12" s="28">
        <v>41913</v>
      </c>
      <c r="I12" s="26" t="str">
        <f>IF(SUMIFS(Controle!$H$9:$H$4996,Controle!$Q$5:$Q$4992,MONTH(Relatórios!$H12),Controle!$R$5:$R$4992,YEAR(Relatórios!$H12))&gt;0,SUMIFS(Controle!$H$9:$H$4996,Controle!$Q$5:$Q$4992,MONTH(Relatórios!$H12),Controle!$R$5:$R$4992,YEAR(Relatórios!$H12)),"")</f>
        <v/>
      </c>
      <c r="J12" s="27" t="str">
        <f>IF(SUMIFS(Controle!$I$9:$I$4996,Controle!$Q$5:$Q$4992,MONTH(Relatórios!$H12),Controle!$R$5:$R$4992,YEAR(Relatórios!$H12))&gt;0,SUMIFS(Controle!$I$9:$I$4996,Controle!$Q$5:$Q$4992,MONTH(Relatórios!$H12),Controle!$R$5:$R$4992,YEAR(Relatórios!$H12)),"")</f>
        <v/>
      </c>
    </row>
    <row r="13" spans="2:10" x14ac:dyDescent="0.25">
      <c r="B13" s="24" t="str">
        <f>IF(Veículos!A12="","",Veículos!A12)</f>
        <v/>
      </c>
      <c r="C13" s="25" t="str">
        <f>IF(SUMIFS(Controle!$L$9:$L$4996,Controle!$D$9:$D$4996,Relatórios!$B13)&gt;0,SUMIFS(Controle!$L$9:$L$4996,Controle!$D$9:$D$4996,Relatórios!$B13),"")</f>
        <v/>
      </c>
      <c r="D13" s="25" t="str">
        <f>IF(SUMIFS(Controle!$H$9:$H$4996,Controle!$D$9:$D$4996,Relatórios!$B13)&gt;0,SUMIFS(Controle!$H$9:$H$4996,Controle!$D$9:$D$4996,Relatórios!$B13),"")</f>
        <v/>
      </c>
      <c r="E13" s="26" t="str">
        <f t="shared" si="0"/>
        <v/>
      </c>
      <c r="F13" s="27" t="str">
        <f>IF(SUMIFS(Controle!$I$9:$I$4996,Controle!$D$9:$D$4996,Relatórios!$B13)&gt;0,SUMIFS(Controle!$I$9:$I$4996,Controle!$D$9:$D$4996,Relatórios!$B13),"")</f>
        <v/>
      </c>
      <c r="H13" s="28">
        <v>41944</v>
      </c>
      <c r="I13" s="26" t="str">
        <f>IF(SUMIFS(Controle!$H$9:$H$4996,Controle!$Q$5:$Q$4992,MONTH(Relatórios!$H13),Controle!$R$5:$R$4992,YEAR(Relatórios!$H13))&gt;0,SUMIFS(Controle!$H$9:$H$4996,Controle!$Q$5:$Q$4992,MONTH(Relatórios!$H13),Controle!$R$5:$R$4992,YEAR(Relatórios!$H13)),"")</f>
        <v/>
      </c>
      <c r="J13" s="27" t="str">
        <f>IF(SUMIFS(Controle!$I$9:$I$4996,Controle!$Q$5:$Q$4992,MONTH(Relatórios!$H13),Controle!$R$5:$R$4992,YEAR(Relatórios!$H13))&gt;0,SUMIFS(Controle!$I$9:$I$4996,Controle!$Q$5:$Q$4992,MONTH(Relatórios!$H13),Controle!$R$5:$R$4992,YEAR(Relatórios!$H13)),"")</f>
        <v/>
      </c>
    </row>
    <row r="14" spans="2:10" x14ac:dyDescent="0.25">
      <c r="B14" s="24" t="str">
        <f>IF(Veículos!A13="","",Veículos!A13)</f>
        <v/>
      </c>
      <c r="C14" s="25" t="str">
        <f>IF(SUMIFS(Controle!$L$9:$L$4996,Controle!$D$9:$D$4996,Relatórios!$B14)&gt;0,SUMIFS(Controle!$L$9:$L$4996,Controle!$D$9:$D$4996,Relatórios!$B14),"")</f>
        <v/>
      </c>
      <c r="D14" s="25" t="str">
        <f>IF(SUMIFS(Controle!$H$9:$H$4996,Controle!$D$9:$D$4996,Relatórios!$B14)&gt;0,SUMIFS(Controle!$H$9:$H$4996,Controle!$D$9:$D$4996,Relatórios!$B14),"")</f>
        <v/>
      </c>
      <c r="E14" s="26" t="str">
        <f t="shared" si="0"/>
        <v/>
      </c>
      <c r="F14" s="27" t="str">
        <f>IF(SUMIFS(Controle!$I$9:$I$4996,Controle!$D$9:$D$4996,Relatórios!$B14)&gt;0,SUMIFS(Controle!$I$9:$I$4996,Controle!$D$9:$D$4996,Relatórios!$B14),"")</f>
        <v/>
      </c>
      <c r="H14" s="28">
        <v>41974</v>
      </c>
      <c r="I14" s="26" t="str">
        <f>IF(SUMIFS(Controle!$H$9:$H$4996,Controle!$Q$5:$Q$4992,MONTH(Relatórios!$H14),Controle!$R$5:$R$4992,YEAR(Relatórios!$H14))&gt;0,SUMIFS(Controle!$H$9:$H$4996,Controle!$Q$5:$Q$4992,MONTH(Relatórios!$H14),Controle!$R$5:$R$4992,YEAR(Relatórios!$H14)),"")</f>
        <v/>
      </c>
      <c r="J14" s="27" t="str">
        <f>IF(SUMIFS(Controle!$I$9:$I$4996,Controle!$Q$5:$Q$4992,MONTH(Relatórios!$H14),Controle!$R$5:$R$4992,YEAR(Relatórios!$H14))&gt;0,SUMIFS(Controle!$I$9:$I$4996,Controle!$Q$5:$Q$4992,MONTH(Relatórios!$H14),Controle!$R$5:$R$4992,YEAR(Relatórios!$H14)),"")</f>
        <v/>
      </c>
    </row>
    <row r="15" spans="2:10" x14ac:dyDescent="0.25">
      <c r="B15" s="24" t="str">
        <f>IF(Veículos!A14="","",Veículos!A14)</f>
        <v/>
      </c>
      <c r="C15" s="25" t="str">
        <f>IF(SUMIFS(Controle!$L$9:$L$4996,Controle!$D$9:$D$4996,Relatórios!$B15)&gt;0,SUMIFS(Controle!$L$9:$L$4996,Controle!$D$9:$D$4996,Relatórios!$B15),"")</f>
        <v/>
      </c>
      <c r="D15" s="25" t="str">
        <f>IF(SUMIFS(Controle!$H$9:$H$4996,Controle!$D$9:$D$4996,Relatórios!$B15)&gt;0,SUMIFS(Controle!$H$9:$H$4996,Controle!$D$9:$D$4996,Relatórios!$B15),"")</f>
        <v/>
      </c>
      <c r="E15" s="26" t="str">
        <f t="shared" si="0"/>
        <v/>
      </c>
      <c r="F15" s="27" t="str">
        <f>IF(SUMIFS(Controle!$I$9:$I$4996,Controle!$D$9:$D$4996,Relatórios!$B15)&gt;0,SUMIFS(Controle!$I$9:$I$4996,Controle!$D$9:$D$4996,Relatórios!$B15),"")</f>
        <v/>
      </c>
      <c r="H15" s="28">
        <v>42005</v>
      </c>
      <c r="I15" s="26" t="str">
        <f>IF(SUMIFS(Controle!$H$9:$H$4996,Controle!$Q$5:$Q$4992,MONTH(Relatórios!$H15),Controle!$R$5:$R$4992,YEAR(Relatórios!$H15))&gt;0,SUMIFS(Controle!$H$9:$H$4996,Controle!$Q$5:$Q$4992,MONTH(Relatórios!$H15),Controle!$R$5:$R$4992,YEAR(Relatórios!$H15)),"")</f>
        <v/>
      </c>
      <c r="J15" s="27" t="str">
        <f>IF(SUMIFS(Controle!$I$9:$I$4996,Controle!$Q$5:$Q$4992,MONTH(Relatórios!$H15),Controle!$R$5:$R$4992,YEAR(Relatórios!$H15))&gt;0,SUMIFS(Controle!$I$9:$I$4996,Controle!$Q$5:$Q$4992,MONTH(Relatórios!$H15),Controle!$R$5:$R$4992,YEAR(Relatórios!$H15)),"")</f>
        <v/>
      </c>
    </row>
    <row r="16" spans="2:10" x14ac:dyDescent="0.25">
      <c r="B16" s="24" t="str">
        <f>IF(Veículos!A15="","",Veículos!A15)</f>
        <v/>
      </c>
      <c r="C16" s="25" t="str">
        <f>IF(SUMIFS(Controle!$L$9:$L$4996,Controle!$D$9:$D$4996,Relatórios!$B16)&gt;0,SUMIFS(Controle!$L$9:$L$4996,Controle!$D$9:$D$4996,Relatórios!$B16),"")</f>
        <v/>
      </c>
      <c r="D16" s="25" t="str">
        <f>IF(SUMIFS(Controle!$H$9:$H$4996,Controle!$D$9:$D$4996,Relatórios!$B16)&gt;0,SUMIFS(Controle!$H$9:$H$4996,Controle!$D$9:$D$4996,Relatórios!$B16),"")</f>
        <v/>
      </c>
      <c r="E16" s="26" t="str">
        <f t="shared" si="0"/>
        <v/>
      </c>
      <c r="F16" s="27" t="str">
        <f>IF(SUMIFS(Controle!$I$9:$I$4996,Controle!$D$9:$D$4996,Relatórios!$B16)&gt;0,SUMIFS(Controle!$I$9:$I$4996,Controle!$D$9:$D$4996,Relatórios!$B16),"")</f>
        <v/>
      </c>
      <c r="H16" s="28">
        <v>42036</v>
      </c>
      <c r="I16" s="26" t="str">
        <f>IF(SUMIFS(Controle!$H$9:$H$4996,Controle!$Q$5:$Q$4992,MONTH(Relatórios!$H16),Controle!$R$5:$R$4992,YEAR(Relatórios!$H16))&gt;0,SUMIFS(Controle!$H$9:$H$4996,Controle!$Q$5:$Q$4992,MONTH(Relatórios!$H16),Controle!$R$5:$R$4992,YEAR(Relatórios!$H16)),"")</f>
        <v/>
      </c>
      <c r="J16" s="27" t="str">
        <f>IF(SUMIFS(Controle!$I$9:$I$4996,Controle!$Q$5:$Q$4992,MONTH(Relatórios!$H16),Controle!$R$5:$R$4992,YEAR(Relatórios!$H16))&gt;0,SUMIFS(Controle!$I$9:$I$4996,Controle!$Q$5:$Q$4992,MONTH(Relatórios!$H16),Controle!$R$5:$R$4992,YEAR(Relatórios!$H16)),"")</f>
        <v/>
      </c>
    </row>
    <row r="17" spans="2:10" x14ac:dyDescent="0.25">
      <c r="B17" s="24" t="str">
        <f>IF(Veículos!A16="","",Veículos!A16)</f>
        <v/>
      </c>
      <c r="C17" s="25" t="str">
        <f>IF(SUMIFS(Controle!$L$9:$L$4996,Controle!$D$9:$D$4996,Relatórios!$B17)&gt;0,SUMIFS(Controle!$L$9:$L$4996,Controle!$D$9:$D$4996,Relatórios!$B17),"")</f>
        <v/>
      </c>
      <c r="D17" s="25" t="str">
        <f>IF(SUMIFS(Controle!$H$9:$H$4996,Controle!$D$9:$D$4996,Relatórios!$B17)&gt;0,SUMIFS(Controle!$H$9:$H$4996,Controle!$D$9:$D$4996,Relatórios!$B17),"")</f>
        <v/>
      </c>
      <c r="E17" s="26" t="str">
        <f t="shared" si="0"/>
        <v/>
      </c>
      <c r="F17" s="27" t="str">
        <f>IF(SUMIFS(Controle!$I$9:$I$4996,Controle!$D$9:$D$4996,Relatórios!$B17)&gt;0,SUMIFS(Controle!$I$9:$I$4996,Controle!$D$9:$D$4996,Relatórios!$B17),"")</f>
        <v/>
      </c>
      <c r="H17" s="28">
        <v>42064</v>
      </c>
      <c r="I17" s="26" t="str">
        <f>IF(SUMIFS(Controle!$H$9:$H$4996,Controle!$Q$5:$Q$4992,MONTH(Relatórios!$H17),Controle!$R$5:$R$4992,YEAR(Relatórios!$H17))&gt;0,SUMIFS(Controle!$H$9:$H$4996,Controle!$Q$5:$Q$4992,MONTH(Relatórios!$H17),Controle!$R$5:$R$4992,YEAR(Relatórios!$H17)),"")</f>
        <v/>
      </c>
      <c r="J17" s="27" t="str">
        <f>IF(SUMIFS(Controle!$I$9:$I$4996,Controle!$Q$5:$Q$4992,MONTH(Relatórios!$H17),Controle!$R$5:$R$4992,YEAR(Relatórios!$H17))&gt;0,SUMIFS(Controle!$I$9:$I$4996,Controle!$Q$5:$Q$4992,MONTH(Relatórios!$H17),Controle!$R$5:$R$4992,YEAR(Relatórios!$H17)),"")</f>
        <v/>
      </c>
    </row>
    <row r="18" spans="2:10" x14ac:dyDescent="0.25">
      <c r="B18" s="24" t="str">
        <f>IF(Veículos!A17="","",Veículos!A17)</f>
        <v/>
      </c>
      <c r="C18" s="25" t="str">
        <f>IF(SUMIFS(Controle!$L$9:$L$4996,Controle!$D$9:$D$4996,Relatórios!$B18)&gt;0,SUMIFS(Controle!$L$9:$L$4996,Controle!$D$9:$D$4996,Relatórios!$B18),"")</f>
        <v/>
      </c>
      <c r="D18" s="25" t="str">
        <f>IF(SUMIFS(Controle!$H$9:$H$4996,Controle!$D$9:$D$4996,Relatórios!$B18)&gt;0,SUMIFS(Controle!$H$9:$H$4996,Controle!$D$9:$D$4996,Relatórios!$B18),"")</f>
        <v/>
      </c>
      <c r="E18" s="26" t="str">
        <f t="shared" si="0"/>
        <v/>
      </c>
      <c r="F18" s="27" t="str">
        <f>IF(SUMIFS(Controle!$I$9:$I$4996,Controle!$D$9:$D$4996,Relatórios!$B18)&gt;0,SUMIFS(Controle!$I$9:$I$4996,Controle!$D$9:$D$4996,Relatórios!$B18),"")</f>
        <v/>
      </c>
      <c r="H18" s="28">
        <v>42095</v>
      </c>
      <c r="I18" s="26" t="str">
        <f>IF(SUMIFS(Controle!$H$9:$H$4996,Controle!$Q$5:$Q$4992,MONTH(Relatórios!$H18),Controle!$R$5:$R$4992,YEAR(Relatórios!$H18))&gt;0,SUMIFS(Controle!$H$9:$H$4996,Controle!$Q$5:$Q$4992,MONTH(Relatórios!$H18),Controle!$R$5:$R$4992,YEAR(Relatórios!$H18)),"")</f>
        <v/>
      </c>
      <c r="J18" s="27" t="str">
        <f>IF(SUMIFS(Controle!$I$9:$I$4996,Controle!$Q$5:$Q$4992,MONTH(Relatórios!$H18),Controle!$R$5:$R$4992,YEAR(Relatórios!$H18))&gt;0,SUMIFS(Controle!$I$9:$I$4996,Controle!$Q$5:$Q$4992,MONTH(Relatórios!$H18),Controle!$R$5:$R$4992,YEAR(Relatórios!$H18)),"")</f>
        <v/>
      </c>
    </row>
    <row r="19" spans="2:10" x14ac:dyDescent="0.25">
      <c r="B19" s="24" t="str">
        <f>IF(Veículos!A18="","",Veículos!A18)</f>
        <v/>
      </c>
      <c r="C19" s="25" t="str">
        <f>IF(SUMIFS(Controle!$L$9:$L$4996,Controle!$D$9:$D$4996,Relatórios!$B19)&gt;0,SUMIFS(Controle!$L$9:$L$4996,Controle!$D$9:$D$4996,Relatórios!$B19),"")</f>
        <v/>
      </c>
      <c r="D19" s="25" t="str">
        <f>IF(SUMIFS(Controle!$H$9:$H$4996,Controle!$D$9:$D$4996,Relatórios!$B19)&gt;0,SUMIFS(Controle!$H$9:$H$4996,Controle!$D$9:$D$4996,Relatórios!$B19),"")</f>
        <v/>
      </c>
      <c r="E19" s="26" t="str">
        <f t="shared" si="0"/>
        <v/>
      </c>
      <c r="F19" s="27" t="str">
        <f>IF(SUMIFS(Controle!$I$9:$I$4996,Controle!$D$9:$D$4996,Relatórios!$B19)&gt;0,SUMIFS(Controle!$I$9:$I$4996,Controle!$D$9:$D$4996,Relatórios!$B19),"")</f>
        <v/>
      </c>
      <c r="H19" s="28">
        <v>42125</v>
      </c>
      <c r="I19" s="26" t="str">
        <f>IF(SUMIFS(Controle!$H$9:$H$4996,Controle!$Q$5:$Q$4992,MONTH(Relatórios!$H19),Controle!$R$5:$R$4992,YEAR(Relatórios!$H19))&gt;0,SUMIFS(Controle!$H$9:$H$4996,Controle!$Q$5:$Q$4992,MONTH(Relatórios!$H19),Controle!$R$5:$R$4992,YEAR(Relatórios!$H19)),"")</f>
        <v/>
      </c>
      <c r="J19" s="27" t="str">
        <f>IF(SUMIFS(Controle!$I$9:$I$4996,Controle!$Q$5:$Q$4992,MONTH(Relatórios!$H19),Controle!$R$5:$R$4992,YEAR(Relatórios!$H19))&gt;0,SUMIFS(Controle!$I$9:$I$4996,Controle!$Q$5:$Q$4992,MONTH(Relatórios!$H19),Controle!$R$5:$R$4992,YEAR(Relatórios!$H19)),"")</f>
        <v/>
      </c>
    </row>
    <row r="20" spans="2:10" x14ac:dyDescent="0.25">
      <c r="B20" s="24" t="str">
        <f>IF(Veículos!A19="","",Veículos!A19)</f>
        <v/>
      </c>
      <c r="C20" s="25" t="str">
        <f>IF(SUMIFS(Controle!$L$9:$L$4996,Controle!$D$9:$D$4996,Relatórios!$B20)&gt;0,SUMIFS(Controle!$L$9:$L$4996,Controle!$D$9:$D$4996,Relatórios!$B20),"")</f>
        <v/>
      </c>
      <c r="D20" s="25" t="str">
        <f>IF(SUMIFS(Controle!$H$9:$H$4996,Controle!$D$9:$D$4996,Relatórios!$B20)&gt;0,SUMIFS(Controle!$H$9:$H$4996,Controle!$D$9:$D$4996,Relatórios!$B20),"")</f>
        <v/>
      </c>
      <c r="E20" s="26" t="str">
        <f t="shared" si="0"/>
        <v/>
      </c>
      <c r="F20" s="27" t="str">
        <f>IF(SUMIFS(Controle!$I$9:$I$4996,Controle!$D$9:$D$4996,Relatórios!$B20)&gt;0,SUMIFS(Controle!$I$9:$I$4996,Controle!$D$9:$D$4996,Relatórios!$B20),"")</f>
        <v/>
      </c>
      <c r="H20" s="28">
        <v>42156</v>
      </c>
      <c r="I20" s="26" t="str">
        <f>IF(SUMIFS(Controle!$H$9:$H$4996,Controle!$Q$5:$Q$4992,MONTH(Relatórios!$H20),Controle!$R$5:$R$4992,YEAR(Relatórios!$H20))&gt;0,SUMIFS(Controle!$H$9:$H$4996,Controle!$Q$5:$Q$4992,MONTH(Relatórios!$H20),Controle!$R$5:$R$4992,YEAR(Relatórios!$H20)),"")</f>
        <v/>
      </c>
      <c r="J20" s="27" t="str">
        <f>IF(SUMIFS(Controle!$I$9:$I$4996,Controle!$Q$5:$Q$4992,MONTH(Relatórios!$H20),Controle!$R$5:$R$4992,YEAR(Relatórios!$H20))&gt;0,SUMIFS(Controle!$I$9:$I$4996,Controle!$Q$5:$Q$4992,MONTH(Relatórios!$H20),Controle!$R$5:$R$4992,YEAR(Relatórios!$H20)),"")</f>
        <v/>
      </c>
    </row>
    <row r="21" spans="2:10" x14ac:dyDescent="0.25">
      <c r="B21" s="24" t="str">
        <f>IF(Veículos!A20="","",Veículos!A20)</f>
        <v/>
      </c>
      <c r="C21" s="25" t="str">
        <f>IF(SUMIFS(Controle!$L$9:$L$4996,Controle!$D$9:$D$4996,Relatórios!$B21)&gt;0,SUMIFS(Controle!$L$9:$L$4996,Controle!$D$9:$D$4996,Relatórios!$B21),"")</f>
        <v/>
      </c>
      <c r="D21" s="25" t="str">
        <f>IF(SUMIFS(Controle!$H$9:$H$4996,Controle!$D$9:$D$4996,Relatórios!$B21)&gt;0,SUMIFS(Controle!$H$9:$H$4996,Controle!$D$9:$D$4996,Relatórios!$B21),"")</f>
        <v/>
      </c>
      <c r="E21" s="26" t="str">
        <f t="shared" si="0"/>
        <v/>
      </c>
      <c r="F21" s="27" t="str">
        <f>IF(SUMIFS(Controle!$I$9:$I$4996,Controle!$D$9:$D$4996,Relatórios!$B21)&gt;0,SUMIFS(Controle!$I$9:$I$4996,Controle!$D$9:$D$4996,Relatórios!$B21),"")</f>
        <v/>
      </c>
      <c r="H21" s="28">
        <v>42186</v>
      </c>
      <c r="I21" s="26" t="str">
        <f>IF(SUMIFS(Controle!$H$9:$H$4996,Controle!$Q$5:$Q$4992,MONTH(Relatórios!$H21),Controle!$R$5:$R$4992,YEAR(Relatórios!$H21))&gt;0,SUMIFS(Controle!$H$9:$H$4996,Controle!$Q$5:$Q$4992,MONTH(Relatórios!$H21),Controle!$R$5:$R$4992,YEAR(Relatórios!$H21)),"")</f>
        <v/>
      </c>
      <c r="J21" s="27" t="str">
        <f>IF(SUMIFS(Controle!$I$9:$I$4996,Controle!$Q$5:$Q$4992,MONTH(Relatórios!$H21),Controle!$R$5:$R$4992,YEAR(Relatórios!$H21))&gt;0,SUMIFS(Controle!$I$9:$I$4996,Controle!$Q$5:$Q$4992,MONTH(Relatórios!$H21),Controle!$R$5:$R$4992,YEAR(Relatórios!$H21)),"")</f>
        <v/>
      </c>
    </row>
    <row r="22" spans="2:10" x14ac:dyDescent="0.25">
      <c r="B22" s="24" t="str">
        <f>IF(Veículos!A21="","",Veículos!A21)</f>
        <v/>
      </c>
      <c r="C22" s="25" t="str">
        <f>IF(SUMIFS(Controle!$L$9:$L$4996,Controle!$D$9:$D$4996,Relatórios!$B22)&gt;0,SUMIFS(Controle!$L$9:$L$4996,Controle!$D$9:$D$4996,Relatórios!$B22),"")</f>
        <v/>
      </c>
      <c r="D22" s="25" t="str">
        <f>IF(SUMIFS(Controle!$H$9:$H$4996,Controle!$D$9:$D$4996,Relatórios!$B22)&gt;0,SUMIFS(Controle!$H$9:$H$4996,Controle!$D$9:$D$4996,Relatórios!$B22),"")</f>
        <v/>
      </c>
      <c r="E22" s="26" t="str">
        <f t="shared" si="0"/>
        <v/>
      </c>
      <c r="F22" s="27" t="str">
        <f>IF(SUMIFS(Controle!$I$9:$I$4996,Controle!$D$9:$D$4996,Relatórios!$B22)&gt;0,SUMIFS(Controle!$I$9:$I$4996,Controle!$D$9:$D$4996,Relatórios!$B22),"")</f>
        <v/>
      </c>
      <c r="H22" s="28">
        <v>42217</v>
      </c>
      <c r="I22" s="26" t="str">
        <f>IF(SUMIFS(Controle!$H$9:$H$4996,Controle!$Q$5:$Q$4992,MONTH(Relatórios!$H22),Controle!$R$5:$R$4992,YEAR(Relatórios!$H22))&gt;0,SUMIFS(Controle!$H$9:$H$4996,Controle!$Q$5:$Q$4992,MONTH(Relatórios!$H22),Controle!$R$5:$R$4992,YEAR(Relatórios!$H22)),"")</f>
        <v/>
      </c>
      <c r="J22" s="27" t="str">
        <f>IF(SUMIFS(Controle!$I$9:$I$4996,Controle!$Q$5:$Q$4992,MONTH(Relatórios!$H22),Controle!$R$5:$R$4992,YEAR(Relatórios!$H22))&gt;0,SUMIFS(Controle!$I$9:$I$4996,Controle!$Q$5:$Q$4992,MONTH(Relatórios!$H22),Controle!$R$5:$R$4992,YEAR(Relatórios!$H22)),"")</f>
        <v/>
      </c>
    </row>
    <row r="23" spans="2:10" x14ac:dyDescent="0.25">
      <c r="B23" s="24" t="str">
        <f>IF(Veículos!A22="","",Veículos!A22)</f>
        <v/>
      </c>
      <c r="C23" s="25" t="str">
        <f>IF(SUMIFS(Controle!$L$9:$L$4996,Controle!$D$9:$D$4996,Relatórios!$B23)&gt;0,SUMIFS(Controle!$L$9:$L$4996,Controle!$D$9:$D$4996,Relatórios!$B23),"")</f>
        <v/>
      </c>
      <c r="D23" s="25" t="str">
        <f>IF(SUMIFS(Controle!$H$9:$H$4996,Controle!$D$9:$D$4996,Relatórios!$B23)&gt;0,SUMIFS(Controle!$H$9:$H$4996,Controle!$D$9:$D$4996,Relatórios!$B23),"")</f>
        <v/>
      </c>
      <c r="E23" s="26" t="str">
        <f t="shared" si="0"/>
        <v/>
      </c>
      <c r="F23" s="27" t="str">
        <f>IF(SUMIFS(Controle!$I$9:$I$4996,Controle!$D$9:$D$4996,Relatórios!$B23)&gt;0,SUMIFS(Controle!$I$9:$I$4996,Controle!$D$9:$D$4996,Relatórios!$B23),"")</f>
        <v/>
      </c>
      <c r="H23" s="28">
        <v>42248</v>
      </c>
      <c r="I23" s="26" t="str">
        <f>IF(SUMIFS(Controle!$H$9:$H$4996,Controle!$Q$5:$Q$4992,MONTH(Relatórios!$H23),Controle!$R$5:$R$4992,YEAR(Relatórios!$H23))&gt;0,SUMIFS(Controle!$H$9:$H$4996,Controle!$Q$5:$Q$4992,MONTH(Relatórios!$H23),Controle!$R$5:$R$4992,YEAR(Relatórios!$H23)),"")</f>
        <v/>
      </c>
      <c r="J23" s="27" t="str">
        <f>IF(SUMIFS(Controle!$I$9:$I$4996,Controle!$Q$5:$Q$4992,MONTH(Relatórios!$H23),Controle!$R$5:$R$4992,YEAR(Relatórios!$H23))&gt;0,SUMIFS(Controle!$I$9:$I$4996,Controle!$Q$5:$Q$4992,MONTH(Relatórios!$H23),Controle!$R$5:$R$4992,YEAR(Relatórios!$H23)),"")</f>
        <v/>
      </c>
    </row>
    <row r="24" spans="2:10" x14ac:dyDescent="0.25">
      <c r="B24" s="24" t="str">
        <f>IF(Veículos!A23="","",Veículos!A23)</f>
        <v/>
      </c>
      <c r="C24" s="25" t="str">
        <f>IF(SUMIFS(Controle!$L$9:$L$4996,Controle!$D$9:$D$4996,Relatórios!$B24)&gt;0,SUMIFS(Controle!$L$9:$L$4996,Controle!$D$9:$D$4996,Relatórios!$B24),"")</f>
        <v/>
      </c>
      <c r="D24" s="25" t="str">
        <f>IF(SUMIFS(Controle!$H$9:$H$4996,Controle!$D$9:$D$4996,Relatórios!$B24)&gt;0,SUMIFS(Controle!$H$9:$H$4996,Controle!$D$9:$D$4996,Relatórios!$B24),"")</f>
        <v/>
      </c>
      <c r="E24" s="26" t="str">
        <f t="shared" si="0"/>
        <v/>
      </c>
      <c r="F24" s="27" t="str">
        <f>IF(SUMIFS(Controle!$I$9:$I$4996,Controle!$D$9:$D$4996,Relatórios!$B24)&gt;0,SUMIFS(Controle!$I$9:$I$4996,Controle!$D$9:$D$4996,Relatórios!$B24),"")</f>
        <v/>
      </c>
      <c r="H24" s="28">
        <v>42278</v>
      </c>
      <c r="I24" s="26" t="str">
        <f>IF(SUMIFS(Controle!$H$9:$H$4996,Controle!$Q$5:$Q$4992,MONTH(Relatórios!$H24),Controle!$R$5:$R$4992,YEAR(Relatórios!$H24))&gt;0,SUMIFS(Controle!$H$9:$H$4996,Controle!$Q$5:$Q$4992,MONTH(Relatórios!$H24),Controle!$R$5:$R$4992,YEAR(Relatórios!$H24)),"")</f>
        <v/>
      </c>
      <c r="J24" s="27" t="str">
        <f>IF(SUMIFS(Controle!$I$9:$I$4996,Controle!$Q$5:$Q$4992,MONTH(Relatórios!$H24),Controle!$R$5:$R$4992,YEAR(Relatórios!$H24))&gt;0,SUMIFS(Controle!$I$9:$I$4996,Controle!$Q$5:$Q$4992,MONTH(Relatórios!$H24),Controle!$R$5:$R$4992,YEAR(Relatórios!$H24)),"")</f>
        <v/>
      </c>
    </row>
    <row r="25" spans="2:10" x14ac:dyDescent="0.25">
      <c r="B25" s="24" t="str">
        <f>IF(Veículos!A24="","",Veículos!A24)</f>
        <v/>
      </c>
      <c r="C25" s="25" t="str">
        <f>IF(SUMIFS(Controle!$L$9:$L$4996,Controle!$D$9:$D$4996,Relatórios!$B25)&gt;0,SUMIFS(Controle!$L$9:$L$4996,Controle!$D$9:$D$4996,Relatórios!$B25),"")</f>
        <v/>
      </c>
      <c r="D25" s="25" t="str">
        <f>IF(SUMIFS(Controle!$H$9:$H$4996,Controle!$D$9:$D$4996,Relatórios!$B25)&gt;0,SUMIFS(Controle!$H$9:$H$4996,Controle!$D$9:$D$4996,Relatórios!$B25),"")</f>
        <v/>
      </c>
      <c r="E25" s="26" t="str">
        <f t="shared" si="0"/>
        <v/>
      </c>
      <c r="F25" s="27" t="str">
        <f>IF(SUMIFS(Controle!$I$9:$I$4996,Controle!$D$9:$D$4996,Relatórios!$B25)&gt;0,SUMIFS(Controle!$I$9:$I$4996,Controle!$D$9:$D$4996,Relatórios!$B25),"")</f>
        <v/>
      </c>
      <c r="H25" s="28">
        <v>42309</v>
      </c>
      <c r="I25" s="26" t="str">
        <f>IF(SUMIFS(Controle!$H$9:$H$4996,Controle!$Q$5:$Q$4992,MONTH(Relatórios!$H25),Controle!$R$5:$R$4992,YEAR(Relatórios!$H25))&gt;0,SUMIFS(Controle!$H$9:$H$4996,Controle!$Q$5:$Q$4992,MONTH(Relatórios!$H25),Controle!$R$5:$R$4992,YEAR(Relatórios!$H25)),"")</f>
        <v/>
      </c>
      <c r="J25" s="27" t="str">
        <f>IF(SUMIFS(Controle!$I$9:$I$4996,Controle!$Q$5:$Q$4992,MONTH(Relatórios!$H25),Controle!$R$5:$R$4992,YEAR(Relatórios!$H25))&gt;0,SUMIFS(Controle!$I$9:$I$4996,Controle!$Q$5:$Q$4992,MONTH(Relatórios!$H25),Controle!$R$5:$R$4992,YEAR(Relatórios!$H25)),"")</f>
        <v/>
      </c>
    </row>
    <row r="26" spans="2:10" x14ac:dyDescent="0.25">
      <c r="B26" s="24" t="str">
        <f>IF(Veículos!A25="","",Veículos!A25)</f>
        <v/>
      </c>
      <c r="C26" s="25" t="str">
        <f>IF(SUMIFS(Controle!$L$9:$L$4996,Controle!$D$9:$D$4996,Relatórios!$B26)&gt;0,SUMIFS(Controle!$L$9:$L$4996,Controle!$D$9:$D$4996,Relatórios!$B26),"")</f>
        <v/>
      </c>
      <c r="D26" s="25" t="str">
        <f>IF(SUMIFS(Controle!$H$9:$H$4996,Controle!$D$9:$D$4996,Relatórios!$B26)&gt;0,SUMIFS(Controle!$H$9:$H$4996,Controle!$D$9:$D$4996,Relatórios!$B26),"")</f>
        <v/>
      </c>
      <c r="E26" s="26" t="str">
        <f t="shared" si="0"/>
        <v/>
      </c>
      <c r="F26" s="27" t="str">
        <f>IF(SUMIFS(Controle!$I$9:$I$4996,Controle!$D$9:$D$4996,Relatórios!$B26)&gt;0,SUMIFS(Controle!$I$9:$I$4996,Controle!$D$9:$D$4996,Relatórios!$B26),"")</f>
        <v/>
      </c>
      <c r="H26" s="28">
        <v>42339</v>
      </c>
      <c r="I26" s="26" t="str">
        <f>IF(SUMIFS(Controle!$H$9:$H$4996,Controle!$Q$5:$Q$4992,MONTH(Relatórios!$H26),Controle!$R$5:$R$4992,YEAR(Relatórios!$H26))&gt;0,SUMIFS(Controle!$H$9:$H$4996,Controle!$Q$5:$Q$4992,MONTH(Relatórios!$H26),Controle!$R$5:$R$4992,YEAR(Relatórios!$H26)),"")</f>
        <v/>
      </c>
      <c r="J26" s="27" t="str">
        <f>IF(SUMIFS(Controle!$I$9:$I$4996,Controle!$Q$5:$Q$4992,MONTH(Relatórios!$H26),Controle!$R$5:$R$4992,YEAR(Relatórios!$H26))&gt;0,SUMIFS(Controle!$I$9:$I$4996,Controle!$Q$5:$Q$4992,MONTH(Relatórios!$H26),Controle!$R$5:$R$4992,YEAR(Relatórios!$H26)),"")</f>
        <v/>
      </c>
    </row>
    <row r="27" spans="2:10" x14ac:dyDescent="0.25">
      <c r="B27" s="24" t="str">
        <f>IF(Veículos!A26="","",Veículos!A26)</f>
        <v/>
      </c>
      <c r="C27" s="25" t="str">
        <f>IF(SUMIFS(Controle!$L$9:$L$4996,Controle!$D$9:$D$4996,Relatórios!$B27)&gt;0,SUMIFS(Controle!$L$9:$L$4996,Controle!$D$9:$D$4996,Relatórios!$B27),"")</f>
        <v/>
      </c>
      <c r="D27" s="25" t="str">
        <f>IF(SUMIFS(Controle!$H$9:$H$4996,Controle!$D$9:$D$4996,Relatórios!$B27)&gt;0,SUMIFS(Controle!$H$9:$H$4996,Controle!$D$9:$D$4996,Relatórios!$B27),"")</f>
        <v/>
      </c>
      <c r="E27" s="26" t="str">
        <f t="shared" si="0"/>
        <v/>
      </c>
      <c r="F27" s="27" t="str">
        <f>IF(SUMIFS(Controle!$I$9:$I$4996,Controle!$D$9:$D$4996,Relatórios!$B27)&gt;0,SUMIFS(Controle!$I$9:$I$4996,Controle!$D$9:$D$4996,Relatórios!$B27),"")</f>
        <v/>
      </c>
    </row>
    <row r="28" spans="2:10" x14ac:dyDescent="0.25">
      <c r="B28" s="24" t="str">
        <f>IF(Veículos!A27="","",Veículos!A27)</f>
        <v/>
      </c>
      <c r="C28" s="25" t="str">
        <f>IF(SUMIFS(Controle!$L$9:$L$4996,Controle!$D$9:$D$4996,Relatórios!$B28)&gt;0,SUMIFS(Controle!$L$9:$L$4996,Controle!$D$9:$D$4996,Relatórios!$B28),"")</f>
        <v/>
      </c>
      <c r="D28" s="25" t="str">
        <f>IF(SUMIFS(Controle!$H$9:$H$4996,Controle!$D$9:$D$4996,Relatórios!$B28)&gt;0,SUMIFS(Controle!$H$9:$H$4996,Controle!$D$9:$D$4996,Relatórios!$B28),"")</f>
        <v/>
      </c>
      <c r="E28" s="26" t="str">
        <f t="shared" si="0"/>
        <v/>
      </c>
      <c r="F28" s="27" t="str">
        <f>IF(SUMIFS(Controle!$I$9:$I$4996,Controle!$D$9:$D$4996,Relatórios!$B28)&gt;0,SUMIFS(Controle!$I$9:$I$4996,Controle!$D$9:$D$4996,Relatórios!$B28),"")</f>
        <v/>
      </c>
    </row>
    <row r="29" spans="2:10" x14ac:dyDescent="0.25">
      <c r="B29" s="24" t="str">
        <f>IF(Veículos!A28="","",Veículos!A28)</f>
        <v/>
      </c>
      <c r="C29" s="25" t="str">
        <f>IF(SUMIFS(Controle!$L$9:$L$4996,Controle!$D$9:$D$4996,Relatórios!$B29)&gt;0,SUMIFS(Controle!$L$9:$L$4996,Controle!$D$9:$D$4996,Relatórios!$B29),"")</f>
        <v/>
      </c>
      <c r="D29" s="25" t="str">
        <f>IF(SUMIFS(Controle!$H$9:$H$4996,Controle!$D$9:$D$4996,Relatórios!$B29)&gt;0,SUMIFS(Controle!$H$9:$H$4996,Controle!$D$9:$D$4996,Relatórios!$B29),"")</f>
        <v/>
      </c>
      <c r="E29" s="26" t="str">
        <f t="shared" si="0"/>
        <v/>
      </c>
      <c r="F29" s="27" t="str">
        <f>IF(SUMIFS(Controle!$I$9:$I$4996,Controle!$D$9:$D$4996,Relatórios!$B29)&gt;0,SUMIFS(Controle!$I$9:$I$4996,Controle!$D$9:$D$4996,Relatórios!$B29),"")</f>
        <v/>
      </c>
    </row>
    <row r="30" spans="2:10" x14ac:dyDescent="0.25">
      <c r="B30" s="24" t="str">
        <f>IF(Veículos!A29="","",Veículos!A29)</f>
        <v/>
      </c>
      <c r="C30" s="25" t="str">
        <f>IF(SUMIFS(Controle!$L$9:$L$4996,Controle!$D$9:$D$4996,Relatórios!$B30)&gt;0,SUMIFS(Controle!$L$9:$L$4996,Controle!$D$9:$D$4996,Relatórios!$B30),"")</f>
        <v/>
      </c>
      <c r="D30" s="25" t="str">
        <f>IF(SUMIFS(Controle!$H$9:$H$4996,Controle!$D$9:$D$4996,Relatórios!$B30)&gt;0,SUMIFS(Controle!$H$9:$H$4996,Controle!$D$9:$D$4996,Relatórios!$B30),"")</f>
        <v/>
      </c>
      <c r="E30" s="26" t="str">
        <f t="shared" si="0"/>
        <v/>
      </c>
      <c r="F30" s="27" t="str">
        <f>IF(SUMIFS(Controle!$I$9:$I$4996,Controle!$D$9:$D$4996,Relatórios!$B30)&gt;0,SUMIFS(Controle!$I$9:$I$4996,Controle!$D$9:$D$4996,Relatórios!$B30),"")</f>
        <v/>
      </c>
    </row>
    <row r="31" spans="2:10" x14ac:dyDescent="0.25">
      <c r="B31" s="24" t="str">
        <f>IF(Veículos!A30="","",Veículos!A30)</f>
        <v/>
      </c>
      <c r="C31" s="25" t="str">
        <f>IF(SUMIFS(Controle!$L$9:$L$4996,Controle!$D$9:$D$4996,Relatórios!$B31)&gt;0,SUMIFS(Controle!$L$9:$L$4996,Controle!$D$9:$D$4996,Relatórios!$B31),"")</f>
        <v/>
      </c>
      <c r="D31" s="25" t="str">
        <f>IF(SUMIFS(Controle!$H$9:$H$4996,Controle!$D$9:$D$4996,Relatórios!$B31)&gt;0,SUMIFS(Controle!$H$9:$H$4996,Controle!$D$9:$D$4996,Relatórios!$B31),"")</f>
        <v/>
      </c>
      <c r="E31" s="26" t="str">
        <f t="shared" si="0"/>
        <v/>
      </c>
      <c r="F31" s="27" t="str">
        <f>IF(SUMIFS(Controle!$I$9:$I$4996,Controle!$D$9:$D$4996,Relatórios!$B31)&gt;0,SUMIFS(Controle!$I$9:$I$4996,Controle!$D$9:$D$4996,Relatórios!$B31),"")</f>
        <v/>
      </c>
    </row>
    <row r="32" spans="2:10" x14ac:dyDescent="0.25">
      <c r="B32" s="24" t="str">
        <f>IF(Veículos!A31="","",Veículos!A31)</f>
        <v/>
      </c>
      <c r="C32" s="25" t="str">
        <f>IF(SUMIFS(Controle!$L$9:$L$4996,Controle!$D$9:$D$4996,Relatórios!$B32)&gt;0,SUMIFS(Controle!$L$9:$L$4996,Controle!$D$9:$D$4996,Relatórios!$B32),"")</f>
        <v/>
      </c>
      <c r="D32" s="25" t="str">
        <f>IF(SUMIFS(Controle!$H$9:$H$4996,Controle!$D$9:$D$4996,Relatórios!$B32)&gt;0,SUMIFS(Controle!$H$9:$H$4996,Controle!$D$9:$D$4996,Relatórios!$B32),"")</f>
        <v/>
      </c>
      <c r="E32" s="26" t="str">
        <f t="shared" si="0"/>
        <v/>
      </c>
      <c r="F32" s="27" t="str">
        <f>IF(SUMIFS(Controle!$I$9:$I$4996,Controle!$D$9:$D$4996,Relatórios!$B32)&gt;0,SUMIFS(Controle!$I$9:$I$4996,Controle!$D$9:$D$4996,Relatórios!$B32),"")</f>
        <v/>
      </c>
    </row>
    <row r="33" spans="2:6" x14ac:dyDescent="0.25">
      <c r="B33" s="24" t="str">
        <f>IF(Veículos!A32="","",Veículos!A32)</f>
        <v/>
      </c>
      <c r="C33" s="25" t="str">
        <f>IF(SUMIFS(Controle!$L$9:$L$4996,Controle!$D$9:$D$4996,Relatórios!$B33)&gt;0,SUMIFS(Controle!$L$9:$L$4996,Controle!$D$9:$D$4996,Relatórios!$B33),"")</f>
        <v/>
      </c>
      <c r="D33" s="25" t="str">
        <f>IF(SUMIFS(Controle!$H$9:$H$4996,Controle!$D$9:$D$4996,Relatórios!$B33)&gt;0,SUMIFS(Controle!$H$9:$H$4996,Controle!$D$9:$D$4996,Relatórios!$B33),"")</f>
        <v/>
      </c>
      <c r="E33" s="26" t="str">
        <f t="shared" si="0"/>
        <v/>
      </c>
      <c r="F33" s="27" t="str">
        <f>IF(SUMIFS(Controle!$I$9:$I$4996,Controle!$D$9:$D$4996,Relatórios!$B33)&gt;0,SUMIFS(Controle!$I$9:$I$4996,Controle!$D$9:$D$4996,Relatórios!$B33),"")</f>
        <v/>
      </c>
    </row>
    <row r="34" spans="2:6" x14ac:dyDescent="0.25">
      <c r="B34" s="24" t="str">
        <f>IF(Veículos!A33="","",Veículos!A33)</f>
        <v/>
      </c>
      <c r="C34" s="25" t="str">
        <f>IF(SUMIFS(Controle!$L$9:$L$4996,Controle!$D$9:$D$4996,Relatórios!$B34)&gt;0,SUMIFS(Controle!$L$9:$L$4996,Controle!$D$9:$D$4996,Relatórios!$B34),"")</f>
        <v/>
      </c>
      <c r="D34" s="25" t="str">
        <f>IF(SUMIFS(Controle!$H$9:$H$4996,Controle!$D$9:$D$4996,Relatórios!$B34)&gt;0,SUMIFS(Controle!$H$9:$H$4996,Controle!$D$9:$D$4996,Relatórios!$B34),"")</f>
        <v/>
      </c>
      <c r="E34" s="26" t="str">
        <f t="shared" si="0"/>
        <v/>
      </c>
      <c r="F34" s="27" t="str">
        <f>IF(SUMIFS(Controle!$I$9:$I$4996,Controle!$D$9:$D$4996,Relatórios!$B34)&gt;0,SUMIFS(Controle!$I$9:$I$4996,Controle!$D$9:$D$4996,Relatórios!$B34),"")</f>
        <v/>
      </c>
    </row>
    <row r="35" spans="2:6" x14ac:dyDescent="0.25">
      <c r="B35" s="24" t="str">
        <f>IF(Veículos!A34="","",Veículos!A34)</f>
        <v/>
      </c>
      <c r="C35" s="25" t="str">
        <f>IF(SUMIFS(Controle!$L$9:$L$4996,Controle!$D$9:$D$4996,Relatórios!$B35)&gt;0,SUMIFS(Controle!$L$9:$L$4996,Controle!$D$9:$D$4996,Relatórios!$B35),"")</f>
        <v/>
      </c>
      <c r="D35" s="25" t="str">
        <f>IF(SUMIFS(Controle!$H$9:$H$4996,Controle!$D$9:$D$4996,Relatórios!$B35)&gt;0,SUMIFS(Controle!$H$9:$H$4996,Controle!$D$9:$D$4996,Relatórios!$B35),"")</f>
        <v/>
      </c>
      <c r="E35" s="26" t="str">
        <f t="shared" si="0"/>
        <v/>
      </c>
      <c r="F35" s="27" t="str">
        <f>IF(SUMIFS(Controle!$I$9:$I$4996,Controle!$D$9:$D$4996,Relatórios!$B35)&gt;0,SUMIFS(Controle!$I$9:$I$4996,Controle!$D$9:$D$4996,Relatórios!$B35),"")</f>
        <v/>
      </c>
    </row>
    <row r="36" spans="2:6" x14ac:dyDescent="0.25">
      <c r="B36" s="24" t="str">
        <f>IF(Veículos!A35="","",Veículos!A35)</f>
        <v/>
      </c>
      <c r="C36" s="25" t="str">
        <f>IF(SUMIFS(Controle!$L$9:$L$4996,Controle!$D$9:$D$4996,Relatórios!$B36)&gt;0,SUMIFS(Controle!$L$9:$L$4996,Controle!$D$9:$D$4996,Relatórios!$B36),"")</f>
        <v/>
      </c>
      <c r="D36" s="25" t="str">
        <f>IF(SUMIFS(Controle!$H$9:$H$4996,Controle!$D$9:$D$4996,Relatórios!$B36)&gt;0,SUMIFS(Controle!$H$9:$H$4996,Controle!$D$9:$D$4996,Relatórios!$B36),"")</f>
        <v/>
      </c>
      <c r="E36" s="26" t="str">
        <f t="shared" si="0"/>
        <v/>
      </c>
      <c r="F36" s="27" t="str">
        <f>IF(SUMIFS(Controle!$I$9:$I$4996,Controle!$D$9:$D$4996,Relatórios!$B36)&gt;0,SUMIFS(Controle!$I$9:$I$4996,Controle!$D$9:$D$4996,Relatórios!$B36),"")</f>
        <v/>
      </c>
    </row>
    <row r="37" spans="2:6" x14ac:dyDescent="0.25">
      <c r="B37" s="24" t="str">
        <f>IF(Veículos!A36="","",Veículos!A36)</f>
        <v/>
      </c>
      <c r="C37" s="25" t="str">
        <f>IF(SUMIFS(Controle!$L$9:$L$4996,Controle!$D$9:$D$4996,Relatórios!$B37)&gt;0,SUMIFS(Controle!$L$9:$L$4996,Controle!$D$9:$D$4996,Relatórios!$B37),"")</f>
        <v/>
      </c>
      <c r="D37" s="25" t="str">
        <f>IF(SUMIFS(Controle!$H$9:$H$4996,Controle!$D$9:$D$4996,Relatórios!$B37)&gt;0,SUMIFS(Controle!$H$9:$H$4996,Controle!$D$9:$D$4996,Relatórios!$B37),"")</f>
        <v/>
      </c>
      <c r="E37" s="26" t="str">
        <f t="shared" si="0"/>
        <v/>
      </c>
      <c r="F37" s="27" t="str">
        <f>IF(SUMIFS(Controle!$I$9:$I$4996,Controle!$D$9:$D$4996,Relatórios!$B37)&gt;0,SUMIFS(Controle!$I$9:$I$4996,Controle!$D$9:$D$4996,Relatórios!$B37),"")</f>
        <v/>
      </c>
    </row>
    <row r="38" spans="2:6" x14ac:dyDescent="0.25">
      <c r="B38" s="24" t="str">
        <f>IF(Veículos!A37="","",Veículos!A37)</f>
        <v/>
      </c>
      <c r="C38" s="25" t="str">
        <f>IF(SUMIFS(Controle!$L$9:$L$4996,Controle!$D$9:$D$4996,Relatórios!$B38)&gt;0,SUMIFS(Controle!$L$9:$L$4996,Controle!$D$9:$D$4996,Relatórios!$B38),"")</f>
        <v/>
      </c>
      <c r="D38" s="25" t="str">
        <f>IF(SUMIFS(Controle!$H$9:$H$4996,Controle!$D$9:$D$4996,Relatórios!$B38)&gt;0,SUMIFS(Controle!$H$9:$H$4996,Controle!$D$9:$D$4996,Relatórios!$B38),"")</f>
        <v/>
      </c>
      <c r="E38" s="26" t="str">
        <f t="shared" si="0"/>
        <v/>
      </c>
      <c r="F38" s="27" t="str">
        <f>IF(SUMIFS(Controle!$I$9:$I$4996,Controle!$D$9:$D$4996,Relatórios!$B38)&gt;0,SUMIFS(Controle!$I$9:$I$4996,Controle!$D$9:$D$4996,Relatórios!$B38),"")</f>
        <v/>
      </c>
    </row>
    <row r="39" spans="2:6" x14ac:dyDescent="0.25">
      <c r="B39" s="24" t="str">
        <f>IF(Veículos!A38="","",Veículos!A38)</f>
        <v/>
      </c>
      <c r="C39" s="25" t="str">
        <f>IF(SUMIFS(Controle!$L$9:$L$4996,Controle!$D$9:$D$4996,Relatórios!$B39)&gt;0,SUMIFS(Controle!$L$9:$L$4996,Controle!$D$9:$D$4996,Relatórios!$B39),"")</f>
        <v/>
      </c>
      <c r="D39" s="25" t="str">
        <f>IF(SUMIFS(Controle!$H$9:$H$4996,Controle!$D$9:$D$4996,Relatórios!$B39)&gt;0,SUMIFS(Controle!$H$9:$H$4996,Controle!$D$9:$D$4996,Relatórios!$B39),"")</f>
        <v/>
      </c>
      <c r="E39" s="26" t="str">
        <f t="shared" si="0"/>
        <v/>
      </c>
      <c r="F39" s="27" t="str">
        <f>IF(SUMIFS(Controle!$I$9:$I$4996,Controle!$D$9:$D$4996,Relatórios!$B39)&gt;0,SUMIFS(Controle!$I$9:$I$4996,Controle!$D$9:$D$4996,Relatórios!$B39),"")</f>
        <v/>
      </c>
    </row>
    <row r="40" spans="2:6" x14ac:dyDescent="0.25">
      <c r="B40" s="24" t="str">
        <f>IF(Veículos!A39="","",Veículos!A39)</f>
        <v/>
      </c>
      <c r="C40" s="25" t="str">
        <f>IF(SUMIFS(Controle!$L$9:$L$4996,Controle!$D$9:$D$4996,Relatórios!$B40)&gt;0,SUMIFS(Controle!$L$9:$L$4996,Controle!$D$9:$D$4996,Relatórios!$B40),"")</f>
        <v/>
      </c>
      <c r="D40" s="25" t="str">
        <f>IF(SUMIFS(Controle!$H$9:$H$4996,Controle!$D$9:$D$4996,Relatórios!$B40)&gt;0,SUMIFS(Controle!$H$9:$H$4996,Controle!$D$9:$D$4996,Relatórios!$B40),"")</f>
        <v/>
      </c>
      <c r="E40" s="26" t="str">
        <f t="shared" si="0"/>
        <v/>
      </c>
      <c r="F40" s="27" t="str">
        <f>IF(SUMIFS(Controle!$I$9:$I$4996,Controle!$D$9:$D$4996,Relatórios!$B40)&gt;0,SUMIFS(Controle!$I$9:$I$4996,Controle!$D$9:$D$4996,Relatórios!$B40),"")</f>
        <v/>
      </c>
    </row>
    <row r="41" spans="2:6" x14ac:dyDescent="0.25">
      <c r="B41" s="24" t="str">
        <f>IF(Veículos!A40="","",Veículos!A40)</f>
        <v/>
      </c>
      <c r="C41" s="25" t="str">
        <f>IF(SUMIFS(Controle!$L$9:$L$4996,Controle!$D$9:$D$4996,Relatórios!$B41)&gt;0,SUMIFS(Controle!$L$9:$L$4996,Controle!$D$9:$D$4996,Relatórios!$B41),"")</f>
        <v/>
      </c>
      <c r="D41" s="25" t="str">
        <f>IF(SUMIFS(Controle!$H$9:$H$4996,Controle!$D$9:$D$4996,Relatórios!$B41)&gt;0,SUMIFS(Controle!$H$9:$H$4996,Controle!$D$9:$D$4996,Relatórios!$B41),"")</f>
        <v/>
      </c>
      <c r="E41" s="26" t="str">
        <f t="shared" si="0"/>
        <v/>
      </c>
      <c r="F41" s="27" t="str">
        <f>IF(SUMIFS(Controle!$I$9:$I$4996,Controle!$D$9:$D$4996,Relatórios!$B41)&gt;0,SUMIFS(Controle!$I$9:$I$4996,Controle!$D$9:$D$4996,Relatórios!$B41),"")</f>
        <v/>
      </c>
    </row>
    <row r="42" spans="2:6" x14ac:dyDescent="0.25">
      <c r="B42" s="24" t="str">
        <f>IF(Veículos!A41="","",Veículos!A41)</f>
        <v/>
      </c>
      <c r="C42" s="25" t="str">
        <f>IF(SUMIFS(Controle!$L$9:$L$4996,Controle!$D$9:$D$4996,Relatórios!$B42)&gt;0,SUMIFS(Controle!$L$9:$L$4996,Controle!$D$9:$D$4996,Relatórios!$B42),"")</f>
        <v/>
      </c>
      <c r="D42" s="25" t="str">
        <f>IF(SUMIFS(Controle!$H$9:$H$4996,Controle!$D$9:$D$4996,Relatórios!$B42)&gt;0,SUMIFS(Controle!$H$9:$H$4996,Controle!$D$9:$D$4996,Relatórios!$B42),"")</f>
        <v/>
      </c>
      <c r="E42" s="26" t="str">
        <f t="shared" si="0"/>
        <v/>
      </c>
      <c r="F42" s="27" t="str">
        <f>IF(SUMIFS(Controle!$I$9:$I$4996,Controle!$D$9:$D$4996,Relatórios!$B42)&gt;0,SUMIFS(Controle!$I$9:$I$4996,Controle!$D$9:$D$4996,Relatórios!$B42),"")</f>
        <v/>
      </c>
    </row>
    <row r="43" spans="2:6" x14ac:dyDescent="0.25">
      <c r="B43" s="24" t="str">
        <f>IF(Veículos!A42="","",Veículos!A42)</f>
        <v/>
      </c>
      <c r="C43" s="25" t="str">
        <f>IF(SUMIFS(Controle!$L$9:$L$4996,Controle!$D$9:$D$4996,Relatórios!$B43)&gt;0,SUMIFS(Controle!$L$9:$L$4996,Controle!$D$9:$D$4996,Relatórios!$B43),"")</f>
        <v/>
      </c>
      <c r="D43" s="25" t="str">
        <f>IF(SUMIFS(Controle!$H$9:$H$4996,Controle!$D$9:$D$4996,Relatórios!$B43)&gt;0,SUMIFS(Controle!$H$9:$H$4996,Controle!$D$9:$D$4996,Relatórios!$B43),"")</f>
        <v/>
      </c>
      <c r="E43" s="26" t="str">
        <f t="shared" si="0"/>
        <v/>
      </c>
      <c r="F43" s="27" t="str">
        <f>IF(SUMIFS(Controle!$I$9:$I$4996,Controle!$D$9:$D$4996,Relatórios!$B43)&gt;0,SUMIFS(Controle!$I$9:$I$4996,Controle!$D$9:$D$4996,Relatórios!$B43),"")</f>
        <v/>
      </c>
    </row>
    <row r="44" spans="2:6" x14ac:dyDescent="0.25">
      <c r="B44" s="24" t="str">
        <f>IF(Veículos!A43="","",Veículos!A43)</f>
        <v/>
      </c>
      <c r="C44" s="25" t="str">
        <f>IF(SUMIFS(Controle!$L$9:$L$4996,Controle!$D$9:$D$4996,Relatórios!$B44)&gt;0,SUMIFS(Controle!$L$9:$L$4996,Controle!$D$9:$D$4996,Relatórios!$B44),"")</f>
        <v/>
      </c>
      <c r="D44" s="25" t="str">
        <f>IF(SUMIFS(Controle!$H$9:$H$4996,Controle!$D$9:$D$4996,Relatórios!$B44)&gt;0,SUMIFS(Controle!$H$9:$H$4996,Controle!$D$9:$D$4996,Relatórios!$B44),"")</f>
        <v/>
      </c>
      <c r="E44" s="26" t="str">
        <f t="shared" si="0"/>
        <v/>
      </c>
      <c r="F44" s="27" t="str">
        <f>IF(SUMIFS(Controle!$I$9:$I$4996,Controle!$D$9:$D$4996,Relatórios!$B44)&gt;0,SUMIFS(Controle!$I$9:$I$4996,Controle!$D$9:$D$4996,Relatórios!$B44),"")</f>
        <v/>
      </c>
    </row>
    <row r="45" spans="2:6" x14ac:dyDescent="0.25">
      <c r="B45" s="24" t="str">
        <f>IF(Veículos!A44="","",Veículos!A44)</f>
        <v/>
      </c>
      <c r="C45" s="25" t="str">
        <f>IF(SUMIFS(Controle!$L$9:$L$4996,Controle!$D$9:$D$4996,Relatórios!$B45)&gt;0,SUMIFS(Controle!$L$9:$L$4996,Controle!$D$9:$D$4996,Relatórios!$B45),"")</f>
        <v/>
      </c>
      <c r="D45" s="25" t="str">
        <f>IF(SUMIFS(Controle!$H$9:$H$4996,Controle!$D$9:$D$4996,Relatórios!$B45)&gt;0,SUMIFS(Controle!$H$9:$H$4996,Controle!$D$9:$D$4996,Relatórios!$B45),"")</f>
        <v/>
      </c>
      <c r="E45" s="26" t="str">
        <f t="shared" si="0"/>
        <v/>
      </c>
      <c r="F45" s="27" t="str">
        <f>IF(SUMIFS(Controle!$I$9:$I$4996,Controle!$D$9:$D$4996,Relatórios!$B45)&gt;0,SUMIFS(Controle!$I$9:$I$4996,Controle!$D$9:$D$4996,Relatórios!$B45),"")</f>
        <v/>
      </c>
    </row>
    <row r="46" spans="2:6" x14ac:dyDescent="0.25">
      <c r="B46" s="24" t="str">
        <f>IF(Veículos!A45="","",Veículos!A45)</f>
        <v/>
      </c>
      <c r="C46" s="25" t="str">
        <f>IF(SUMIFS(Controle!$L$9:$L$4996,Controle!$D$9:$D$4996,Relatórios!$B46)&gt;0,SUMIFS(Controle!$L$9:$L$4996,Controle!$D$9:$D$4996,Relatórios!$B46),"")</f>
        <v/>
      </c>
      <c r="D46" s="25" t="str">
        <f>IF(SUMIFS(Controle!$H$9:$H$4996,Controle!$D$9:$D$4996,Relatórios!$B46)&gt;0,SUMIFS(Controle!$H$9:$H$4996,Controle!$D$9:$D$4996,Relatórios!$B46),"")</f>
        <v/>
      </c>
      <c r="E46" s="26" t="str">
        <f t="shared" si="0"/>
        <v/>
      </c>
      <c r="F46" s="27" t="str">
        <f>IF(SUMIFS(Controle!$I$9:$I$4996,Controle!$D$9:$D$4996,Relatórios!$B46)&gt;0,SUMIFS(Controle!$I$9:$I$4996,Controle!$D$9:$D$4996,Relatórios!$B46),"")</f>
        <v/>
      </c>
    </row>
    <row r="47" spans="2:6" x14ac:dyDescent="0.25">
      <c r="B47" s="24" t="str">
        <f>IF(Veículos!A46="","",Veículos!A46)</f>
        <v/>
      </c>
      <c r="C47" s="25" t="str">
        <f>IF(SUMIFS(Controle!$L$9:$L$4996,Controle!$D$9:$D$4996,Relatórios!$B47)&gt;0,SUMIFS(Controle!$L$9:$L$4996,Controle!$D$9:$D$4996,Relatórios!$B47),"")</f>
        <v/>
      </c>
      <c r="D47" s="25" t="str">
        <f>IF(SUMIFS(Controle!$H$9:$H$4996,Controle!$D$9:$D$4996,Relatórios!$B47)&gt;0,SUMIFS(Controle!$H$9:$H$4996,Controle!$D$9:$D$4996,Relatórios!$B47),"")</f>
        <v/>
      </c>
      <c r="E47" s="26" t="str">
        <f t="shared" si="0"/>
        <v/>
      </c>
      <c r="F47" s="27" t="str">
        <f>IF(SUMIFS(Controle!$I$9:$I$4996,Controle!$D$9:$D$4996,Relatórios!$B47)&gt;0,SUMIFS(Controle!$I$9:$I$4996,Controle!$D$9:$D$4996,Relatórios!$B47),"")</f>
        <v/>
      </c>
    </row>
    <row r="48" spans="2:6" x14ac:dyDescent="0.25">
      <c r="B48" s="24" t="str">
        <f>IF(Veículos!A47="","",Veículos!A47)</f>
        <v/>
      </c>
      <c r="C48" s="25" t="str">
        <f>IF(SUMIFS(Controle!$L$9:$L$4996,Controle!$D$9:$D$4996,Relatórios!$B48)&gt;0,SUMIFS(Controle!$L$9:$L$4996,Controle!$D$9:$D$4996,Relatórios!$B48),"")</f>
        <v/>
      </c>
      <c r="D48" s="25" t="str">
        <f>IF(SUMIFS(Controle!$H$9:$H$4996,Controle!$D$9:$D$4996,Relatórios!$B48)&gt;0,SUMIFS(Controle!$H$9:$H$4996,Controle!$D$9:$D$4996,Relatórios!$B48),"")</f>
        <v/>
      </c>
      <c r="E48" s="26" t="str">
        <f t="shared" si="0"/>
        <v/>
      </c>
      <c r="F48" s="27" t="str">
        <f>IF(SUMIFS(Controle!$I$9:$I$4996,Controle!$D$9:$D$4996,Relatórios!$B48)&gt;0,SUMIFS(Controle!$I$9:$I$4996,Controle!$D$9:$D$4996,Relatórios!$B48),"")</f>
        <v/>
      </c>
    </row>
    <row r="49" spans="2:6" x14ac:dyDescent="0.25">
      <c r="B49" s="24" t="str">
        <f>IF(Veículos!A48="","",Veículos!A48)</f>
        <v/>
      </c>
      <c r="C49" s="25" t="str">
        <f>IF(SUMIFS(Controle!$L$9:$L$4996,Controle!$D$9:$D$4996,Relatórios!$B49)&gt;0,SUMIFS(Controle!$L$9:$L$4996,Controle!$D$9:$D$4996,Relatórios!$B49),"")</f>
        <v/>
      </c>
      <c r="D49" s="25" t="str">
        <f>IF(SUMIFS(Controle!$H$9:$H$4996,Controle!$D$9:$D$4996,Relatórios!$B49)&gt;0,SUMIFS(Controle!$H$9:$H$4996,Controle!$D$9:$D$4996,Relatórios!$B49),"")</f>
        <v/>
      </c>
      <c r="E49" s="26" t="str">
        <f t="shared" si="0"/>
        <v/>
      </c>
      <c r="F49" s="27" t="str">
        <f>IF(SUMIFS(Controle!$I$9:$I$4996,Controle!$D$9:$D$4996,Relatórios!$B49)&gt;0,SUMIFS(Controle!$I$9:$I$4996,Controle!$D$9:$D$4996,Relatórios!$B49),"")</f>
        <v/>
      </c>
    </row>
    <row r="50" spans="2:6" x14ac:dyDescent="0.25">
      <c r="B50" s="24" t="str">
        <f>IF(Veículos!A49="","",Veículos!A49)</f>
        <v/>
      </c>
      <c r="C50" s="25" t="str">
        <f>IF(SUMIFS(Controle!$L$9:$L$4996,Controle!$D$9:$D$4996,Relatórios!$B50)&gt;0,SUMIFS(Controle!$L$9:$L$4996,Controle!$D$9:$D$4996,Relatórios!$B50),"")</f>
        <v/>
      </c>
      <c r="D50" s="25" t="str">
        <f>IF(SUMIFS(Controle!$H$9:$H$4996,Controle!$D$9:$D$4996,Relatórios!$B50)&gt;0,SUMIFS(Controle!$H$9:$H$4996,Controle!$D$9:$D$4996,Relatórios!$B50),"")</f>
        <v/>
      </c>
      <c r="E50" s="26" t="str">
        <f t="shared" si="0"/>
        <v/>
      </c>
      <c r="F50" s="27" t="str">
        <f>IF(SUMIFS(Controle!$I$9:$I$4996,Controle!$D$9:$D$4996,Relatórios!$B50)&gt;0,SUMIFS(Controle!$I$9:$I$4996,Controle!$D$9:$D$4996,Relatórios!$B50),"")</f>
        <v/>
      </c>
    </row>
    <row r="51" spans="2:6" x14ac:dyDescent="0.25">
      <c r="B51" s="24" t="str">
        <f>IF(Veículos!A50="","",Veículos!A50)</f>
        <v/>
      </c>
      <c r="C51" s="25" t="str">
        <f>IF(SUMIFS(Controle!$L$9:$L$4996,Controle!$D$9:$D$4996,Relatórios!$B51)&gt;0,SUMIFS(Controle!$L$9:$L$4996,Controle!$D$9:$D$4996,Relatórios!$B51),"")</f>
        <v/>
      </c>
      <c r="D51" s="25" t="str">
        <f>IF(SUMIFS(Controle!$H$9:$H$4996,Controle!$D$9:$D$4996,Relatórios!$B51)&gt;0,SUMIFS(Controle!$H$9:$H$4996,Controle!$D$9:$D$4996,Relatórios!$B51),"")</f>
        <v/>
      </c>
      <c r="E51" s="26" t="str">
        <f t="shared" si="0"/>
        <v/>
      </c>
      <c r="F51" s="27" t="str">
        <f>IF(SUMIFS(Controle!$I$9:$I$4996,Controle!$D$9:$D$4996,Relatórios!$B51)&gt;0,SUMIFS(Controle!$I$9:$I$4996,Controle!$D$9:$D$4996,Relatórios!$B51),"")</f>
        <v/>
      </c>
    </row>
    <row r="52" spans="2:6" x14ac:dyDescent="0.25">
      <c r="B52" s="24" t="str">
        <f>IF(Veículos!A51="","",Veículos!A51)</f>
        <v/>
      </c>
      <c r="C52" s="25" t="str">
        <f>IF(SUMIFS(Controle!$L$9:$L$4996,Controle!$D$9:$D$4996,Relatórios!$B52)&gt;0,SUMIFS(Controle!$L$9:$L$4996,Controle!$D$9:$D$4996,Relatórios!$B52),"")</f>
        <v/>
      </c>
      <c r="D52" s="25" t="str">
        <f>IF(SUMIFS(Controle!$H$9:$H$4996,Controle!$D$9:$D$4996,Relatórios!$B52)&gt;0,SUMIFS(Controle!$H$9:$H$4996,Controle!$D$9:$D$4996,Relatórios!$B52),"")</f>
        <v/>
      </c>
      <c r="E52" s="26" t="str">
        <f t="shared" si="0"/>
        <v/>
      </c>
      <c r="F52" s="27" t="str">
        <f>IF(SUMIFS(Controle!$I$9:$I$4996,Controle!$D$9:$D$4996,Relatórios!$B52)&gt;0,SUMIFS(Controle!$I$9:$I$4996,Controle!$D$9:$D$4996,Relatórios!$B52),"")</f>
        <v/>
      </c>
    </row>
    <row r="53" spans="2:6" x14ac:dyDescent="0.25">
      <c r="C53" s="29"/>
      <c r="D53" s="29"/>
      <c r="E53" s="30"/>
      <c r="F53" s="31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A2" sqref="A2"/>
    </sheetView>
  </sheetViews>
  <sheetFormatPr defaultRowHeight="15" x14ac:dyDescent="0.25"/>
  <cols>
    <col min="1" max="1" width="31.42578125" style="15" customWidth="1"/>
  </cols>
  <sheetData>
    <row r="1" spans="1:1" ht="16.5" x14ac:dyDescent="0.25">
      <c r="A1" s="14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>
      <selection activeCell="A2" sqref="A2"/>
    </sheetView>
  </sheetViews>
  <sheetFormatPr defaultRowHeight="15" x14ac:dyDescent="0.25"/>
  <cols>
    <col min="1" max="1" width="31.42578125" style="15" customWidth="1"/>
  </cols>
  <sheetData>
    <row r="1" spans="1:1" ht="16.5" x14ac:dyDescent="0.25">
      <c r="A1" s="14" t="s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>
      <selection activeCell="A2" sqref="A2"/>
    </sheetView>
  </sheetViews>
  <sheetFormatPr defaultRowHeight="15" x14ac:dyDescent="0.25"/>
  <cols>
    <col min="1" max="1" width="31.42578125" style="15" customWidth="1"/>
  </cols>
  <sheetData>
    <row r="1" spans="1:1" ht="16.5" x14ac:dyDescent="0.25">
      <c r="A1" s="14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5"/>
  <sheetViews>
    <sheetView workbookViewId="0">
      <selection activeCell="A6" sqref="A6"/>
    </sheetView>
  </sheetViews>
  <sheetFormatPr defaultRowHeight="15" x14ac:dyDescent="0.25"/>
  <cols>
    <col min="1" max="1" width="31.42578125" style="15" customWidth="1"/>
  </cols>
  <sheetData>
    <row r="1" spans="1:1" ht="16.5" x14ac:dyDescent="0.25">
      <c r="A1" s="14" t="s">
        <v>5</v>
      </c>
    </row>
    <row r="2" spans="1:1" x14ac:dyDescent="0.25">
      <c r="A2" s="15" t="s">
        <v>14</v>
      </c>
    </row>
    <row r="3" spans="1:1" x14ac:dyDescent="0.25">
      <c r="A3" s="15" t="s">
        <v>15</v>
      </c>
    </row>
    <row r="4" spans="1:1" x14ac:dyDescent="0.25">
      <c r="A4" s="15" t="s">
        <v>12</v>
      </c>
    </row>
    <row r="5" spans="1:1" x14ac:dyDescent="0.25">
      <c r="A5" s="15" t="s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</vt:i4>
      </vt:variant>
    </vt:vector>
  </HeadingPairs>
  <TitlesOfParts>
    <vt:vector size="12" baseType="lpstr">
      <vt:lpstr>Instruções</vt:lpstr>
      <vt:lpstr>Controle</vt:lpstr>
      <vt:lpstr>Relatórios</vt:lpstr>
      <vt:lpstr>Veículos</vt:lpstr>
      <vt:lpstr>Motoristas</vt:lpstr>
      <vt:lpstr>Postos de Combustível</vt:lpstr>
      <vt:lpstr>Combustíveis</vt:lpstr>
      <vt:lpstr>Combustíveis</vt:lpstr>
      <vt:lpstr>Combustíveis2</vt:lpstr>
      <vt:lpstr>Motoristas</vt:lpstr>
      <vt:lpstr>Postos</vt:lpstr>
      <vt:lpstr>Veículos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Schuelter</dc:creator>
  <cp:lastModifiedBy>Gabriele Gonçalo</cp:lastModifiedBy>
  <dcterms:created xsi:type="dcterms:W3CDTF">2014-05-27T13:18:38Z</dcterms:created>
  <dcterms:modified xsi:type="dcterms:W3CDTF">2014-06-03T18:06:11Z</dcterms:modified>
</cp:coreProperties>
</file>